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ntes e Habilitados" sheetId="1" r:id="rId5"/>
    <sheet state="visible" name="Venda Direta" sheetId="2" r:id="rId6"/>
    <sheet state="visible" name="Leilão - Macro" sheetId="3" r:id="rId7"/>
    <sheet state="visible" name="Leilão - Sudeste" sheetId="4" r:id="rId8"/>
    <sheet state="visible" name="Leilão - Sul" sheetId="5" r:id="rId9"/>
    <sheet state="visible" name="Leilão - Centro Oeste" sheetId="6" r:id="rId10"/>
    <sheet state="visible" name="Leilão - Norte e Nordeste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tc={2c95cc1c-8bbc-4943-b27a-8ed6cf9b1569}</author>
    <author>tc={d11ed36c-b024-4169-bcc7-7e2a2f2d8154}</author>
  </authors>
  <commentList>
    <comment authorId="0" xr:uid="{2c95cc1c-8bbc-4943-b27a-8ed6cf9b1569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Compre agora - 30 a 1
</t>
      </text>
    </comment>
    <comment authorId="1" xr:uid="{d11ed36c-b024-4169-bcc7-7e2a2f2d8154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Compre agora - 30 a 1
</t>
      </text>
    </comment>
  </commentList>
</comments>
</file>

<file path=xl/sharedStrings.xml><?xml version="1.0" encoding="utf-8"?>
<sst xmlns="http://schemas.openxmlformats.org/spreadsheetml/2006/main" count="1670" uniqueCount="134">
  <si>
    <t>Osasco, Itaqua, Porto e Betim</t>
  </si>
  <si>
    <t>Entrantes e Habilitados por região</t>
  </si>
  <si>
    <t>Leilões - Sudeste</t>
  </si>
  <si>
    <t>São Paulo, Rio de Janeiro, Minas Gerais, Espirito Santo</t>
  </si>
  <si>
    <t>Semana 30/08 a 05/09 vs 06/09 a 12/09</t>
  </si>
  <si>
    <t>Resumo por Categoria</t>
  </si>
  <si>
    <t>Detalhe dos Leilões</t>
  </si>
  <si>
    <t>Google Analytics — 7 dias</t>
  </si>
  <si>
    <t>Estado</t>
  </si>
  <si>
    <t>Entrantes</t>
  </si>
  <si>
    <t>Habilitados</t>
  </si>
  <si>
    <t>Categoria</t>
  </si>
  <si>
    <t>Leilões</t>
  </si>
  <si>
    <t>Taxa de Êxito</t>
  </si>
  <si>
    <t>Nº do Leilão</t>
  </si>
  <si>
    <t>Dia</t>
  </si>
  <si>
    <t>Êxito do Leilão</t>
  </si>
  <si>
    <t>Leilão</t>
  </si>
  <si>
    <t>Views</t>
  </si>
  <si>
    <t>Active Users</t>
  </si>
  <si>
    <t>New Users</t>
  </si>
  <si>
    <t>SP</t>
  </si>
  <si>
    <t>Porto</t>
  </si>
  <si>
    <t>Itaqua</t>
  </si>
  <si>
    <t>RJ</t>
  </si>
  <si>
    <t>Osasco</t>
  </si>
  <si>
    <t>MG</t>
  </si>
  <si>
    <t>ES</t>
  </si>
  <si>
    <t>Betim</t>
  </si>
  <si>
    <t>TOTAL</t>
  </si>
  <si>
    <t>Taxa de comparação</t>
  </si>
  <si>
    <t xml:space="preserve">Total </t>
  </si>
  <si>
    <t>Total</t>
  </si>
  <si>
    <t xml:space="preserve">analise semanal </t>
  </si>
  <si>
    <t>Locador</t>
  </si>
  <si>
    <t>Semana 06/09 a 12/09 á 13/09 a 19/09</t>
  </si>
  <si>
    <t>Semana  06/09 a 12/09  á 13/09 a 19/09</t>
  </si>
  <si>
    <t>ENTRANTES E HABILITADOS — Diario</t>
  </si>
  <si>
    <t>ENTRANTES E HABILITADOS — SEMANA</t>
  </si>
  <si>
    <t>Entrantes por Estado</t>
  </si>
  <si>
    <t>Habilitados por Estado</t>
  </si>
  <si>
    <t>DATA</t>
  </si>
  <si>
    <t>Cadastros entrantes</t>
  </si>
  <si>
    <t>Habilitados totais</t>
  </si>
  <si>
    <t>Conversão</t>
  </si>
  <si>
    <t>Taxa de Conversão</t>
  </si>
  <si>
    <t>Domingo</t>
  </si>
  <si>
    <t>Semana 06/09 a 12/09 vs 13/09 á 19/09</t>
  </si>
  <si>
    <t>Segunda</t>
  </si>
  <si>
    <t>Terça</t>
  </si>
  <si>
    <t>Quarta</t>
  </si>
  <si>
    <t>PR</t>
  </si>
  <si>
    <t>Quinta</t>
  </si>
  <si>
    <t>SC</t>
  </si>
  <si>
    <t>Sexta</t>
  </si>
  <si>
    <t>RS</t>
  </si>
  <si>
    <t>Semana 13/09 á 19/09 vs 20/09 á 26/09</t>
  </si>
  <si>
    <t>Sábado</t>
  </si>
  <si>
    <t>GO</t>
  </si>
  <si>
    <t>TOTAL SEMANA</t>
  </si>
  <si>
    <t>BA</t>
  </si>
  <si>
    <t>Outros</t>
  </si>
  <si>
    <t>Vazias</t>
  </si>
  <si>
    <t xml:space="preserve">total </t>
  </si>
  <si>
    <t xml:space="preserve">variação </t>
  </si>
  <si>
    <t>VENDA DIRETA</t>
  </si>
  <si>
    <t>Leads e Vendas</t>
  </si>
  <si>
    <t>Métrica</t>
  </si>
  <si>
    <t>Semana 20/09 á 26/09 vs  27/09 á 03/10</t>
  </si>
  <si>
    <t>Semana 1</t>
  </si>
  <si>
    <t>Semana 2</t>
  </si>
  <si>
    <t>Semana 3</t>
  </si>
  <si>
    <t>Semana 4</t>
  </si>
  <si>
    <t>Semana 5</t>
  </si>
  <si>
    <t>Mês</t>
  </si>
  <si>
    <t>Leads</t>
  </si>
  <si>
    <t>LEILÃO — SEMANA</t>
  </si>
  <si>
    <t>Vendas</t>
  </si>
  <si>
    <t>Semana 30/08 a 05/09</t>
  </si>
  <si>
    <t>Entradas</t>
  </si>
  <si>
    <t>Taxa de Conversão (Vendas/Leads)</t>
  </si>
  <si>
    <t>Taxa de Conversão (entradas/Leads)</t>
  </si>
  <si>
    <t>Goiânia</t>
  </si>
  <si>
    <t>Bradesco</t>
  </si>
  <si>
    <t>Google Analytics — Comprar - Semana 30 ago á 5 de set</t>
  </si>
  <si>
    <t>Santander</t>
  </si>
  <si>
    <t>Google Analytics — Comprar - Semana 6 á 12 set</t>
  </si>
  <si>
    <t>Google Analytics — Comprar - Semana 13 a 19 de set</t>
  </si>
  <si>
    <t>Curitiba</t>
  </si>
  <si>
    <t>Google Analytics — Comprar - Semana 20 á 26 de set</t>
  </si>
  <si>
    <t>Google Analytics — Comprar - Semana 27 set á 03 de out</t>
  </si>
  <si>
    <t>Page Views</t>
  </si>
  <si>
    <t>a+</t>
  </si>
  <si>
    <t>Google Analytics — Vender -  Semana 30 ago á 5 de set</t>
  </si>
  <si>
    <t>Google Analytics — Vender -  Semana 6 á 12 set</t>
  </si>
  <si>
    <t>Google Analytics — Vender -  Semana 13 a 19 de set</t>
  </si>
  <si>
    <t>Google Analytics — Vender - Semana 20 á 26 de set</t>
  </si>
  <si>
    <t>Google Analytics — Vender -  - Semana 27 set á 03 de out</t>
  </si>
  <si>
    <t>Semana 06/09 a 12/09</t>
  </si>
  <si>
    <t>\</t>
  </si>
  <si>
    <t>Semana 13/09 á 19/09</t>
  </si>
  <si>
    <t>Semana 20/09 á 26/09</t>
  </si>
  <si>
    <t/>
  </si>
  <si>
    <t>Semana 27/09 á 03/10</t>
  </si>
  <si>
    <t>LEILÃO — GOOGLE ANALYTICS POR SEGURADORA/LOCADOR</t>
  </si>
  <si>
    <t>Nº Leilão</t>
  </si>
  <si>
    <t>Êxito</t>
  </si>
  <si>
    <t>Leilões - Sul</t>
  </si>
  <si>
    <t>Curitiba, Rio Grande do Sul e Santa Catarina</t>
  </si>
  <si>
    <t>Goiania</t>
  </si>
  <si>
    <t>Leilões - Centro Oeste</t>
  </si>
  <si>
    <t>Mato Grosso, Mato Grosso do Sul e Goiania</t>
  </si>
  <si>
    <t>MT</t>
  </si>
  <si>
    <t>MS</t>
  </si>
  <si>
    <t>Vitória de Santo Antão, Eusebio</t>
  </si>
  <si>
    <t>Leilões - Norte e Nordeste</t>
  </si>
  <si>
    <t>Nordeste: Bahia, Sergipe, Alagoas, Pernambuco, Parnaiba, Rio grande do Norte, Ceara, Piaui, Maranhão | Norte: Acre, Amazonas, Roraima, Amapa, Pará, Tocantins, Rondonia</t>
  </si>
  <si>
    <t>AC</t>
  </si>
  <si>
    <t>Vitoria de SA</t>
  </si>
  <si>
    <t>AM</t>
  </si>
  <si>
    <t>Eusebio</t>
  </si>
  <si>
    <t>RO</t>
  </si>
  <si>
    <t>RR</t>
  </si>
  <si>
    <t>PA</t>
  </si>
  <si>
    <t>AP</t>
  </si>
  <si>
    <t>TO</t>
  </si>
  <si>
    <t>MA</t>
  </si>
  <si>
    <t>PI</t>
  </si>
  <si>
    <t>CE</t>
  </si>
  <si>
    <t>SE</t>
  </si>
  <si>
    <t>AL</t>
  </si>
  <si>
    <t>PE</t>
  </si>
  <si>
    <t>PB</t>
  </si>
  <si>
    <t>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</si>
</sst>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-mmm"/>
    <numFmt numFmtId="165" formatCode="0.0%"/>
    <numFmt numFmtId="166" formatCode="0.0%;[Red]\-0.0%;\-"/>
    <numFmt numFmtId="167" formatCode="dd/mm"/>
  </numFmts>
  <fonts count="24">
    <font>
      <sz val="11.0"/>
      <color theme="1"/>
      <name val="Calibri"/>
      <scheme val="minor"/>
    </font>
    <font>
      <b/>
      <sz val="10.0"/>
      <color rgb="FF1F4E78"/>
      <name val="Arial"/>
    </font>
    <font/>
    <font>
      <i/>
      <sz val="11.0"/>
      <color theme="0"/>
      <name val="Calibri"/>
    </font>
    <font>
      <sz val="11.0"/>
      <color theme="1"/>
      <name val="Calibri"/>
    </font>
    <font>
      <sz val="9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4.0"/>
      <color rgb="FFFFFFFF"/>
      <name val="Arial"/>
    </font>
    <font>
      <sz val="11.0"/>
      <color rgb="FF000000"/>
      <name val="Calibri"/>
    </font>
    <font>
      <b/>
      <i/>
      <sz val="10.0"/>
      <color theme="1"/>
      <name val="Arial"/>
    </font>
    <font>
      <color theme="1"/>
      <name val="Calibri"/>
      <scheme val="minor"/>
    </font>
    <font>
      <sz val="11.0"/>
      <color rgb="FF000000"/>
      <name val="Aptos Narrow"/>
    </font>
    <font>
      <i/>
      <sz val="9.0"/>
      <color rgb="FF7F7F7F"/>
      <name val="Arial"/>
    </font>
    <font>
      <b/>
      <sz val="16.0"/>
      <color theme="1"/>
      <name val="Calibri"/>
    </font>
    <font>
      <i/>
      <sz val="9.0"/>
      <color rgb="FF808080"/>
      <name val="Calibri"/>
    </font>
    <font>
      <b/>
      <sz val="14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2E75B6"/>
        <bgColor rgb="FF2E75B6"/>
      </patternFill>
    </fill>
    <fill>
      <patternFill patternType="solid">
        <fgColor rgb="FFB8CCE4"/>
        <bgColor rgb="FFB8CCE4"/>
      </patternFill>
    </fill>
    <fill>
      <patternFill patternType="solid">
        <fgColor rgb="FFBDD7EE"/>
        <bgColor rgb="FFBDD7EE"/>
      </patternFill>
    </fill>
    <fill>
      <patternFill patternType="solid">
        <fgColor rgb="FF1F4E78"/>
        <bgColor rgb="FF1F4E78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DDEBF7"/>
        <bgColor rgb="FFDDEBF7"/>
      </patternFill>
    </fill>
    <fill>
      <patternFill patternType="solid">
        <fgColor rgb="FFC6D9F0"/>
        <bgColor rgb="FFC6D9F0"/>
      </patternFill>
    </fill>
    <fill>
      <patternFill patternType="solid">
        <fgColor rgb="FFDDD9C3"/>
        <bgColor rgb="FFDDD9C3"/>
      </patternFill>
    </fill>
    <fill>
      <patternFill patternType="solid">
        <fgColor rgb="FFEAF1DD"/>
        <bgColor rgb="FFEAF1DD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</fills>
  <borders count="5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left/>
      <top/>
      <bottom style="thin">
        <color rgb="FFB7B7B7"/>
      </bottom>
    </border>
    <border>
      <right/>
      <top/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</border>
    <border>
      <top/>
      <bottom style="thin">
        <color rgb="FFB7B7B7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/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B7B7B7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B7B7B7"/>
      </left>
      <right style="thin">
        <color rgb="FFB7B7B7"/>
      </right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top style="thin">
        <color rgb="FF000000"/>
      </top>
      <bottom style="thin">
        <color rgb="FFB7B7B7"/>
      </bottom>
    </border>
    <border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000000"/>
      </right>
      <top style="thin">
        <color rgb="FFB7B7B7"/>
      </top>
      <bottom/>
    </border>
    <border>
      <left style="thin">
        <color rgb="FFB7B7B7"/>
      </left>
      <right style="thin">
        <color rgb="FFB7B7B7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3" fontId="3" numFmtId="0" xfId="0" applyBorder="1" applyFill="1" applyFont="1"/>
    <xf borderId="4" fillId="4" fontId="4" numFmtId="0" xfId="0" applyBorder="1" applyFill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5" fillId="2" fontId="1" numFmtId="0" xfId="0" applyBorder="1" applyFill="1" applyFont="1"/>
    <xf borderId="4" fillId="2" fontId="1" numFmtId="0" xfId="0" applyBorder="1" applyFill="1" applyFont="1"/>
    <xf borderId="6" fillId="5" fontId="6" numFmtId="0" xfId="0" applyAlignment="1" applyBorder="1" applyFill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6" fillId="4" fontId="7" numFmtId="0" xfId="0" applyAlignment="1" applyBorder="1" applyFill="1" applyFont="1">
      <alignment horizontal="center" vertical="center"/>
    </xf>
    <xf borderId="6" fillId="4" fontId="8" numFmtId="3" xfId="0" applyAlignment="1" applyBorder="1" applyFill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3" xfId="0" applyAlignment="1" applyBorder="1" applyFont="1" applyNumberFormat="1">
      <alignment horizontal="center" vertical="center"/>
    </xf>
    <xf borderId="6" fillId="4" fontId="8" numFmtId="10" xfId="0" applyAlignment="1" applyBorder="1" applyFill="1" applyFont="1" applyNumberForma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0" fontId="7" numFmtId="164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4" fontId="8" numFmtId="10" xfId="0" applyAlignment="1" applyBorder="1" applyFill="1" applyFont="1" applyNumberFormat="1">
      <alignment horizontal="center" vertical="center"/>
    </xf>
    <xf borderId="6" fillId="0" fontId="8" numFmtId="3" xfId="0" applyAlignment="1" applyBorder="1" applyFont="1" applyNumberFormat="1">
      <alignment horizontal="center" vertical="center"/>
    </xf>
    <xf borderId="4" fillId="6" fontId="9" numFmtId="0" xfId="0" applyAlignment="1" applyBorder="1" applyFill="1" applyFont="1">
      <alignment horizontal="center"/>
    </xf>
    <xf borderId="6" fillId="7" fontId="10" numFmtId="0" xfId="0" applyAlignment="1" applyBorder="1" applyFill="1" applyFont="1">
      <alignment horizontal="center"/>
    </xf>
    <xf borderId="6" fillId="7" fontId="10" numFmtId="3" xfId="0" applyAlignment="1" applyBorder="1" applyFill="1" applyFont="1" applyNumberFormat="1">
      <alignment horizontal="center"/>
    </xf>
    <xf borderId="6" fillId="7" fontId="10" numFmtId="165" xfId="0" applyAlignment="1" applyBorder="1" applyFill="1" applyFont="1" applyNumberFormat="1">
      <alignment horizontal="center"/>
    </xf>
    <xf borderId="9" fillId="2" fontId="1" numFmtId="0" xfId="0" applyAlignment="1" applyBorder="1" applyFill="1" applyFont="1">
      <alignment vertical="center"/>
    </xf>
    <xf borderId="10" fillId="0" fontId="2" numFmtId="0" xfId="0" applyBorder="1" applyFont="1"/>
    <xf borderId="5" fillId="2" fontId="1" numFmtId="0" xfId="0" applyAlignment="1" applyBorder="1" applyFill="1" applyFont="1">
      <alignment vertical="center"/>
    </xf>
    <xf borderId="11" fillId="0" fontId="7" numFmtId="0" xfId="0" applyAlignment="1" applyBorder="1" applyFont="1">
      <alignment horizontal="center" vertical="center"/>
    </xf>
    <xf borderId="12" fillId="0" fontId="11" numFmtId="166" xfId="0" applyBorder="1" applyFont="1" applyNumberFormat="1"/>
    <xf borderId="13" fillId="0" fontId="7" numFmtId="0" xfId="0" applyAlignment="1" applyBorder="1" applyFont="1">
      <alignment horizontal="center" vertical="center"/>
    </xf>
    <xf borderId="14" fillId="0" fontId="11" numFmtId="166" xfId="0" applyBorder="1" applyFont="1" applyNumberFormat="1"/>
    <xf borderId="6" fillId="7" fontId="10" numFmtId="0" xfId="0" applyAlignment="1" applyBorder="1" applyFill="1" applyFont="1">
      <alignment horizontal="center" vertical="center"/>
    </xf>
    <xf borderId="6" fillId="7" fontId="10" numFmtId="3" xfId="0" applyAlignment="1" applyBorder="1" applyFill="1" applyFont="1" applyNumberFormat="1">
      <alignment horizontal="center" vertical="center"/>
    </xf>
    <xf borderId="9" fillId="2" fontId="1" numFmtId="0" xfId="0" applyAlignment="1" applyBorder="1" applyFill="1" applyFont="1">
      <alignment horizontal="center"/>
    </xf>
    <xf borderId="15" fillId="0" fontId="2" numFmtId="0" xfId="0" applyBorder="1" applyFont="1"/>
    <xf borderId="16" fillId="0" fontId="12" numFmtId="0" xfId="0" applyBorder="1" applyFont="1"/>
    <xf borderId="17" fillId="0" fontId="11" numFmtId="166" xfId="0" applyBorder="1" applyFont="1" applyNumberFormat="1"/>
    <xf borderId="18" fillId="5" fontId="6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7" numFmtId="0" xfId="0" applyAlignment="1" applyBorder="1" applyFont="1">
      <alignment horizontal="center" vertical="center"/>
    </xf>
    <xf borderId="22" fillId="0" fontId="4" numFmtId="3" xfId="0" applyBorder="1" applyFont="1" applyNumberFormat="1"/>
    <xf borderId="12" fillId="0" fontId="4" numFmtId="3" xfId="0" applyBorder="1" applyFont="1" applyNumberFormat="1"/>
    <xf borderId="0" fillId="0" fontId="4" numFmtId="3" xfId="0" applyFont="1" applyNumberFormat="1"/>
    <xf borderId="14" fillId="0" fontId="4" numFmtId="3" xfId="0" applyBorder="1" applyFont="1" applyNumberFormat="1"/>
    <xf borderId="1" fillId="4" fontId="4" numFmtId="0" xfId="0" applyAlignment="1" applyBorder="1" applyFill="1" applyFont="1">
      <alignment horizontal="center"/>
    </xf>
    <xf borderId="23" fillId="8" fontId="13" numFmtId="0" xfId="0" applyAlignment="1" applyBorder="1" applyFill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0" fontId="7" numFmtId="0" xfId="0" applyAlignment="1" applyBorder="1" applyFont="1">
      <alignment horizontal="center" vertical="center"/>
    </xf>
    <xf borderId="4" fillId="4" fontId="13" numFmtId="0" xfId="0" applyAlignment="1" applyBorder="1" applyFill="1" applyFont="1">
      <alignment horizontal="center" vertical="center"/>
    </xf>
    <xf borderId="9" fillId="8" fontId="13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27" fillId="9" fontId="14" numFmtId="0" xfId="0" applyAlignment="1" applyBorder="1" applyFill="1" applyFont="1">
      <alignment horizontal="center" vertical="center"/>
    </xf>
    <xf borderId="28" fillId="9" fontId="14" numFmtId="0" xfId="0" applyAlignment="1" applyBorder="1" applyFill="1" applyFont="1">
      <alignment horizontal="center" vertical="center"/>
    </xf>
    <xf borderId="28" fillId="9" fontId="14" numFmtId="9" xfId="0" applyAlignment="1" applyBorder="1" applyFill="1" applyFont="1" applyNumberFormat="1">
      <alignment horizontal="center" vertical="center"/>
    </xf>
    <xf borderId="29" fillId="10" fontId="14" numFmtId="16" xfId="0" applyAlignment="1" applyBorder="1" applyFill="1" applyFont="1" applyNumberFormat="1">
      <alignment horizontal="center" vertical="center"/>
    </xf>
    <xf borderId="30" fillId="11" fontId="4" numFmtId="0" xfId="0" applyAlignment="1" applyBorder="1" applyFill="1" applyFont="1">
      <alignment horizontal="center"/>
    </xf>
    <xf borderId="31" fillId="0" fontId="4" numFmtId="3" xfId="0" applyBorder="1" applyFont="1" applyNumberFormat="1"/>
    <xf borderId="17" fillId="0" fontId="4" numFmtId="3" xfId="0" applyBorder="1" applyFont="1" applyNumberFormat="1"/>
    <xf borderId="30" fillId="12" fontId="4" numFmtId="9" xfId="0" applyAlignment="1" applyBorder="1" applyFill="1" applyFont="1" applyNumberFormat="1">
      <alignment horizontal="center"/>
    </xf>
    <xf borderId="32" fillId="0" fontId="7" numFmtId="0" xfId="0" applyAlignment="1" applyBorder="1" applyFont="1">
      <alignment horizontal="center" vertical="center"/>
    </xf>
    <xf borderId="6" fillId="0" fontId="7" numFmtId="165" xfId="0" applyAlignment="1" applyBorder="1" applyFont="1" applyNumberFormat="1">
      <alignment horizontal="center" vertical="center"/>
    </xf>
    <xf borderId="0" fillId="0" fontId="4" numFmtId="9" xfId="0" applyFont="1" applyNumberFormat="1"/>
    <xf borderId="0" fillId="0" fontId="11" numFmtId="0" xfId="0" applyFont="1"/>
    <xf borderId="0" fillId="0" fontId="11" numFmtId="166" xfId="0" applyFont="1" applyNumberFormat="1"/>
    <xf borderId="30" fillId="11" fontId="4" numFmtId="9" xfId="0" applyAlignment="1" applyBorder="1" applyFill="1" applyFont="1" applyNumberFormat="1">
      <alignment horizontal="center"/>
    </xf>
    <xf borderId="33" fillId="2" fontId="1" numFmtId="0" xfId="0" applyAlignment="1" applyBorder="1" applyFill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6" fillId="4" fontId="7" numFmtId="165" xfId="0" applyAlignment="1" applyBorder="1" applyFill="1" applyFont="1" applyNumberFormat="1">
      <alignment horizontal="center" vertical="center"/>
    </xf>
    <xf borderId="29" fillId="13" fontId="14" numFmtId="16" xfId="0" applyAlignment="1" applyBorder="1" applyFill="1" applyFont="1" applyNumberFormat="1">
      <alignment horizontal="center" vertical="center"/>
    </xf>
    <xf borderId="30" fillId="14" fontId="4" numFmtId="0" xfId="0" applyAlignment="1" applyBorder="1" applyFill="1" applyFont="1">
      <alignment horizontal="center"/>
    </xf>
    <xf borderId="30" fillId="14" fontId="4" numFmtId="9" xfId="0" applyAlignment="1" applyBorder="1" applyFill="1" applyFont="1" applyNumberFormat="1">
      <alignment horizontal="center"/>
    </xf>
    <xf borderId="36" fillId="5" fontId="6" numFmtId="0" xfId="0" applyAlignment="1" applyBorder="1" applyFill="1" applyFont="1">
      <alignment horizontal="center" shrinkToFit="0" vertical="center" wrapText="1"/>
    </xf>
    <xf borderId="37" fillId="0" fontId="2" numFmtId="0" xfId="0" applyBorder="1" applyFont="1"/>
    <xf borderId="38" fillId="5" fontId="6" numFmtId="0" xfId="0" applyAlignment="1" applyBorder="1" applyFill="1" applyFont="1">
      <alignment horizontal="center" shrinkToFit="0" vertical="center" wrapText="1"/>
    </xf>
    <xf borderId="39" fillId="5" fontId="6" numFmtId="0" xfId="0" applyAlignment="1" applyBorder="1" applyFill="1" applyFont="1">
      <alignment horizontal="center" shrinkToFit="0" vertical="center" wrapText="1"/>
    </xf>
    <xf borderId="29" fillId="4" fontId="14" numFmtId="16" xfId="0" applyAlignment="1" applyBorder="1" applyFill="1" applyFont="1" applyNumberFormat="1">
      <alignment horizontal="center" vertical="center"/>
    </xf>
    <xf borderId="30" fillId="0" fontId="4" numFmtId="0" xfId="0" applyAlignment="1" applyBorder="1" applyFont="1">
      <alignment horizontal="center"/>
    </xf>
    <xf borderId="30" fillId="0" fontId="4" numFmtId="9" xfId="0" applyAlignment="1" applyBorder="1" applyFont="1" applyNumberFormat="1">
      <alignment horizontal="center"/>
    </xf>
    <xf borderId="6" fillId="15" fontId="15" numFmtId="9" xfId="0" applyAlignment="1" applyBorder="1" applyFill="1" applyFont="1" applyNumberFormat="1">
      <alignment horizontal="center"/>
    </xf>
    <xf borderId="30" fillId="4" fontId="4" numFmtId="0" xfId="0" applyAlignment="1" applyBorder="1" applyFill="1" applyFont="1">
      <alignment horizontal="center"/>
    </xf>
    <xf borderId="30" fillId="4" fontId="4" numFmtId="9" xfId="0" applyAlignment="1" applyBorder="1" applyFill="1" applyFont="1" applyNumberFormat="1">
      <alignment horizontal="center"/>
    </xf>
    <xf borderId="0" fillId="0" fontId="12" numFmtId="0" xfId="0" applyFont="1"/>
    <xf borderId="0" fillId="0" fontId="12" numFmtId="166" xfId="0" applyFont="1" applyNumberFormat="1"/>
    <xf borderId="0" fillId="0" fontId="16" numFmtId="0" xfId="0" applyFont="1"/>
    <xf borderId="30" fillId="13" fontId="4" numFmtId="9" xfId="0" applyAlignment="1" applyBorder="1" applyFill="1" applyFont="1" applyNumberFormat="1">
      <alignment horizontal="center"/>
    </xf>
    <xf borderId="32" fillId="0" fontId="8" numFmtId="3" xfId="0" applyAlignment="1" applyBorder="1" applyFont="1" applyNumberFormat="1">
      <alignment horizontal="center" vertical="center"/>
    </xf>
    <xf borderId="30" fillId="0" fontId="4" numFmtId="3" xfId="0" applyAlignment="1" applyBorder="1" applyFont="1" applyNumberFormat="1">
      <alignment horizontal="center"/>
    </xf>
    <xf borderId="30" fillId="4" fontId="4" numFmtId="3" xfId="0" applyAlignment="1" applyBorder="1" applyFill="1" applyFont="1" applyNumberFormat="1">
      <alignment horizontal="center"/>
    </xf>
    <xf borderId="1" fillId="8" fontId="13" numFmtId="0" xfId="0" applyAlignment="1" applyBorder="1" applyFill="1" applyFont="1">
      <alignment horizontal="left" vertical="center"/>
    </xf>
    <xf borderId="6" fillId="5" fontId="6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left"/>
    </xf>
    <xf borderId="6" fillId="7" fontId="10" numFmtId="0" xfId="0" applyAlignment="1" applyBorder="1" applyFill="1" applyFont="1">
      <alignment horizontal="left" shrinkToFit="0" wrapText="1"/>
    </xf>
    <xf borderId="6" fillId="7" fontId="10" numFmtId="165" xfId="0" applyAlignment="1" applyBorder="1" applyFill="1" applyFont="1" applyNumberFormat="1">
      <alignment horizontal="center" vertical="center"/>
    </xf>
    <xf borderId="30" fillId="14" fontId="4" numFmtId="3" xfId="0" applyAlignment="1" applyBorder="1" applyFill="1" applyFont="1" applyNumberFormat="1">
      <alignment horizontal="center"/>
    </xf>
    <xf borderId="30" fillId="11" fontId="14" numFmtId="3" xfId="0" applyAlignment="1" applyBorder="1" applyFill="1" applyFont="1" applyNumberFormat="1">
      <alignment horizontal="center" vertical="center"/>
    </xf>
    <xf borderId="6" fillId="16" fontId="8" numFmtId="3" xfId="0" applyAlignment="1" applyBorder="1" applyFill="1" applyFont="1" applyNumberFormat="1">
      <alignment horizontal="center" vertical="center"/>
    </xf>
    <xf borderId="40" fillId="4" fontId="8" numFmtId="0" xfId="0" applyAlignment="1" applyBorder="1" applyFill="1" applyFont="1">
      <alignment horizontal="center" vertical="center"/>
    </xf>
    <xf borderId="32" fillId="0" fontId="7" numFmtId="164" xfId="0" applyAlignment="1" applyBorder="1" applyFont="1" applyNumberFormat="1">
      <alignment horizontal="center" vertical="center"/>
    </xf>
    <xf borderId="40" fillId="4" fontId="8" numFmtId="10" xfId="0" applyAlignment="1" applyBorder="1" applyFill="1" applyFont="1" applyNumberFormat="1">
      <alignment horizontal="center" vertical="center"/>
    </xf>
    <xf borderId="7" fillId="4" fontId="8" numFmtId="3" xfId="0" applyAlignment="1" applyBorder="1" applyFill="1" applyFont="1" applyNumberFormat="1">
      <alignment horizontal="center" vertical="center"/>
    </xf>
    <xf borderId="8" fillId="16" fontId="8" numFmtId="0" xfId="0" applyAlignment="1" applyBorder="1" applyFill="1" applyFont="1">
      <alignment horizontal="center" vertical="center"/>
    </xf>
    <xf borderId="41" fillId="0" fontId="17" numFmtId="3" xfId="0" applyAlignment="1" applyBorder="1" applyFont="1" applyNumberFormat="1">
      <alignment horizontal="center"/>
    </xf>
    <xf borderId="8" fillId="16" fontId="7" numFmtId="164" xfId="0" applyAlignment="1" applyBorder="1" applyFill="1" applyFont="1" applyNumberFormat="1">
      <alignment horizontal="center" vertical="center"/>
    </xf>
    <xf borderId="8" fillId="16" fontId="7" numFmtId="0" xfId="0" applyAlignment="1" applyBorder="1" applyFill="1" applyFont="1">
      <alignment horizontal="center" vertical="center"/>
    </xf>
    <xf borderId="8" fillId="16" fontId="8" numFmtId="10" xfId="0" applyAlignment="1" applyBorder="1" applyFill="1" applyFont="1" applyNumberFormat="1">
      <alignment horizontal="center" vertical="center"/>
    </xf>
    <xf borderId="8" fillId="16" fontId="8" numFmtId="3" xfId="0" applyAlignment="1" applyBorder="1" applyFill="1" applyFont="1" applyNumberFormat="1">
      <alignment horizontal="center" vertical="center"/>
    </xf>
    <xf borderId="30" fillId="11" fontId="14" numFmtId="0" xfId="0" applyAlignment="1" applyBorder="1" applyFill="1" applyFont="1">
      <alignment horizontal="center" vertical="center"/>
    </xf>
    <xf borderId="42" fillId="2" fontId="1" numFmtId="0" xfId="0" applyAlignment="1" applyBorder="1" applyFill="1" applyFont="1">
      <alignment horizontal="center"/>
    </xf>
    <xf borderId="43" fillId="0" fontId="2" numFmtId="0" xfId="0" applyBorder="1" applyFont="1"/>
    <xf borderId="44" fillId="0" fontId="2" numFmtId="0" xfId="0" applyBorder="1" applyFont="1"/>
    <xf borderId="8" fillId="4" fontId="7" numFmtId="0" xfId="0" applyAlignment="1" applyBorder="1" applyFill="1" applyFont="1">
      <alignment horizontal="center" vertical="center"/>
    </xf>
    <xf borderId="45" fillId="5" fontId="6" numFmtId="0" xfId="0" applyAlignment="1" applyBorder="1" applyFill="1" applyFont="1">
      <alignment horizontal="center" shrinkToFit="0" vertical="center" wrapText="1"/>
    </xf>
    <xf borderId="46" fillId="0" fontId="2" numFmtId="0" xfId="0" applyBorder="1" applyFont="1"/>
    <xf borderId="47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8" fillId="5" fontId="6" numFmtId="0" xfId="0" applyAlignment="1" applyBorder="1" applyFill="1" applyFont="1">
      <alignment horizontal="center" shrinkToFit="0" vertical="center" wrapText="1"/>
    </xf>
    <xf borderId="49" fillId="0" fontId="7" numFmtId="0" xfId="0" applyAlignment="1" applyBorder="1" applyFont="1">
      <alignment horizontal="center" vertical="center"/>
    </xf>
    <xf borderId="0" fillId="0" fontId="18" numFmtId="0" xfId="0" applyFont="1"/>
    <xf borderId="4" fillId="4" fontId="4" numFmtId="3" xfId="0" applyBorder="1" applyFill="1" applyFont="1" applyNumberFormat="1"/>
    <xf borderId="0" fillId="0" fontId="4" numFmtId="10" xfId="0" applyFont="1" applyNumberFormat="1"/>
    <xf borderId="6" fillId="4" fontId="8" numFmtId="0" xfId="0" applyAlignment="1" applyBorder="1" applyFill="1" applyFont="1">
      <alignment horizontal="center" vertical="center"/>
    </xf>
    <xf borderId="4" fillId="17" fontId="9" numFmtId="0" xfId="0" applyAlignment="1" applyBorder="1" applyFill="1" applyFont="1">
      <alignment horizontal="center"/>
    </xf>
    <xf borderId="4" fillId="17" fontId="9" numFmtId="9" xfId="0" applyAlignment="1" applyBorder="1" applyFill="1" applyFont="1" applyNumberFormat="1">
      <alignment horizontal="center"/>
    </xf>
    <xf borderId="16" fillId="0" fontId="7" numFmtId="0" xfId="0" applyAlignment="1" applyBorder="1" applyFont="1">
      <alignment horizontal="center" vertical="center"/>
    </xf>
    <xf borderId="4" fillId="4" fontId="8" numFmtId="10" xfId="0" applyAlignment="1" applyBorder="1" applyFill="1" applyFont="1" applyNumberFormat="1">
      <alignment horizontal="center" vertical="center"/>
    </xf>
    <xf quotePrefix="1" borderId="0" fillId="0" fontId="4" numFmtId="0" xfId="0" applyFont="1"/>
    <xf borderId="0" fillId="0" fontId="4" numFmtId="0" xfId="0" applyFont="1"/>
    <xf borderId="0" fillId="0" fontId="19" numFmtId="0" xfId="0" applyFont="1"/>
    <xf borderId="0" fillId="0" fontId="20" numFmtId="0" xfId="0" applyFont="1"/>
    <xf borderId="1" fillId="18" fontId="21" numFmtId="0" xfId="0" applyAlignment="1" applyBorder="1" applyFill="1" applyFont="1">
      <alignment horizontal="center"/>
    </xf>
    <xf borderId="50" fillId="19" fontId="22" numFmtId="0" xfId="0" applyAlignment="1" applyBorder="1" applyFill="1" applyFont="1">
      <alignment horizontal="center"/>
    </xf>
    <xf borderId="50" fillId="0" fontId="23" numFmtId="0" xfId="0" applyAlignment="1" applyBorder="1" applyFont="1">
      <alignment horizontal="center"/>
    </xf>
    <xf borderId="50" fillId="0" fontId="23" numFmtId="167" xfId="0" applyAlignment="1" applyBorder="1" applyFont="1" applyNumberFormat="1">
      <alignment horizontal="center"/>
    </xf>
    <xf borderId="50" fillId="0" fontId="23" numFmtId="165" xfId="0" applyAlignment="1" applyBorder="1" applyFont="1" applyNumberFormat="1">
      <alignment horizontal="center"/>
    </xf>
    <xf borderId="50" fillId="0" fontId="23" numFmtId="3" xfId="0" applyAlignment="1" applyBorder="1" applyFont="1" applyNumberFormat="1">
      <alignment horizontal="center"/>
    </xf>
    <xf borderId="50" fillId="0" fontId="23" numFmtId="10" xfId="0" applyAlignment="1" applyBorder="1" applyFont="1" applyNumberFormat="1">
      <alignment horizontal="center"/>
    </xf>
    <xf borderId="50" fillId="0" fontId="23" numFmtId="164" xfId="0" applyAlignment="1" applyBorder="1" applyFont="1" applyNumberFormat="1">
      <alignment horizontal="center"/>
    </xf>
    <xf borderId="51" fillId="0" fontId="4" numFmtId="3" xfId="0" applyBorder="1" applyFont="1" applyNumberFormat="1"/>
    <xf borderId="52" fillId="0" fontId="4" numFmtId="3" xfId="0" applyBorder="1" applyFont="1" applyNumberFormat="1"/>
    <xf borderId="53" fillId="4" fontId="8" numFmtId="10" xfId="0" applyAlignment="1" applyBorder="1" applyFill="1" applyFont="1" applyNumberFormat="1">
      <alignment horizontal="center" vertical="center"/>
    </xf>
    <xf borderId="30" fillId="0" fontId="4" numFmtId="0" xfId="0" applyBorder="1" applyFont="1"/>
    <xf borderId="30" fillId="4" fontId="8" numFmtId="0" xfId="0" applyAlignment="1" applyBorder="1" applyFill="1" applyFont="1">
      <alignment horizontal="center" vertical="center"/>
    </xf>
    <xf borderId="30" fillId="0" fontId="8" numFmtId="3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52" fillId="0" fontId="11" numFmtId="166" xfId="0" applyBorder="1" applyFont="1" applyNumberFormat="1"/>
    <xf borderId="6" fillId="4" fontId="8" numFmtId="9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Entrantes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'Entrantes e Habilitados'!$L$17:$L$26</c:f>
            </c:strRef>
          </c:cat>
          <c:val>
            <c:numRef>
              <c:f>'Entrantes e Habilitados'!$M$17:$M$26</c:f>
              <c:numCache/>
            </c:numRef>
          </c:val>
        </c:ser>
        <c:axId val="899194962"/>
        <c:axId val="1235952587"/>
      </c:barChart>
      <c:catAx>
        <c:axId val="899194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5952587"/>
      </c:catAx>
      <c:valAx>
        <c:axId val="1235952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Entrantes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9919496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Habilitados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'Entrantes e Habilitados'!$P$3:$P$11</c:f>
            </c:strRef>
          </c:cat>
          <c:val>
            <c:numRef>
              <c:f>'Entrantes e Habilitados'!$Q$3:$Q$11</c:f>
              <c:numCache/>
            </c:numRef>
          </c:val>
        </c:ser>
        <c:axId val="1637084185"/>
        <c:axId val="1234299620"/>
      </c:barChart>
      <c:catAx>
        <c:axId val="1637084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4299620"/>
      </c:catAx>
      <c:valAx>
        <c:axId val="1234299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Habilitados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708418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Entrantes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'Entrantes e Habilitados'!$L$3:$L$12</c:f>
            </c:strRef>
          </c:cat>
          <c:val>
            <c:numRef>
              <c:f>'Entrantes e Habilitados'!$M$3:$M$12</c:f>
              <c:numCache/>
            </c:numRef>
          </c:val>
        </c:ser>
        <c:axId val="91713669"/>
        <c:axId val="2015650574"/>
      </c:barChart>
      <c:catAx>
        <c:axId val="91713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15650574"/>
      </c:catAx>
      <c:valAx>
        <c:axId val="2015650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Entrantes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71366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Habilitados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'Entrantes e Habilitados'!$P$17:$P$25</c:f>
            </c:strRef>
          </c:cat>
          <c:val>
            <c:numRef>
              <c:f>'Entrantes e Habilitados'!$Q$17:$Q$25</c:f>
              <c:numCache/>
            </c:numRef>
          </c:val>
        </c:ser>
        <c:axId val="956259925"/>
        <c:axId val="554928522"/>
      </c:barChart>
      <c:catAx>
        <c:axId val="956259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4928522"/>
      </c:catAx>
      <c:valAx>
        <c:axId val="55492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Habilitados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625992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'Entrantes e Habilitados'!$M$30</c:f>
            </c:strRef>
          </c:tx>
          <c:invertIfNegative val="0"/>
          <c:cat>
            <c:strRef>
              <c:f>'Entrantes e Habilitados'!$L$31:$L$40</c:f>
            </c:strRef>
          </c:cat>
          <c:val>
            <c:numRef>
              <c:f>'Entrantes e Habilitados'!$M$31:$M$40</c:f>
              <c:numCache/>
            </c:numRef>
          </c:val>
        </c:ser>
        <c:axId val="895807137"/>
        <c:axId val="1483892969"/>
      </c:barChart>
      <c:catAx>
        <c:axId val="895807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3892969"/>
      </c:catAx>
      <c:valAx>
        <c:axId val="14838929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9580713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'Entrantes e Habilitados'!$Q$30</c:f>
            </c:strRef>
          </c:tx>
          <c:invertIfNegative val="0"/>
          <c:cat>
            <c:strRef>
              <c:f>'Entrantes e Habilitados'!$P$31:$P$39</c:f>
            </c:strRef>
          </c:cat>
          <c:val>
            <c:numRef>
              <c:f>'Entrantes e Habilitados'!$Q$31:$Q$39</c:f>
              <c:numCache/>
            </c:numRef>
          </c:val>
        </c:ser>
        <c:axId val="1046333873"/>
        <c:axId val="888568951"/>
      </c:barChart>
      <c:catAx>
        <c:axId val="1046333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88568951"/>
      </c:catAx>
      <c:valAx>
        <c:axId val="88856895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4633387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'Entrantes e Habilitados'!$M$44</c:f>
            </c:strRef>
          </c:tx>
          <c:invertIfNegative val="0"/>
          <c:cat>
            <c:strRef>
              <c:f>'Entrantes e Habilitados'!$L$45:$L$54</c:f>
            </c:strRef>
          </c:cat>
          <c:val>
            <c:numRef>
              <c:f>'Entrantes e Habilitados'!$M$45:$M$54</c:f>
              <c:numCache/>
            </c:numRef>
          </c:val>
        </c:ser>
        <c:axId val="1772051625"/>
        <c:axId val="280768464"/>
      </c:barChart>
      <c:catAx>
        <c:axId val="1772051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0768464"/>
      </c:catAx>
      <c:valAx>
        <c:axId val="28076846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7205162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'Entrantes e Habilitados'!$Q$44</c:f>
            </c:strRef>
          </c:tx>
          <c:invertIfNegative val="0"/>
          <c:cat>
            <c:strRef>
              <c:f>'Entrantes e Habilitados'!$P$45:$P$53</c:f>
            </c:strRef>
          </c:cat>
          <c:val>
            <c:numRef>
              <c:f>'Entrantes e Habilitados'!$Q$45:$Q$53</c:f>
              <c:numCache/>
            </c:numRef>
          </c:val>
        </c:ser>
        <c:axId val="632948401"/>
        <c:axId val="687596825"/>
      </c:barChart>
      <c:catAx>
        <c:axId val="632948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87596825"/>
      </c:catAx>
      <c:valAx>
        <c:axId val="6875968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3294840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Page Views</c:v>
          </c:tx>
          <c:spPr>
            <a:ln cmpd="sng" w="38100">
              <a:solidFill>
                <a:srgbClr val="7E99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Direta'!$A$18:$A$24</c:f>
            </c:strRef>
          </c:cat>
          <c:val>
            <c:numRef>
              <c:f>'Venda Direta'!$B$18:$B$24</c:f>
              <c:numCache/>
            </c:numRef>
          </c:val>
          <c:smooth val="0"/>
        </c:ser>
        <c:ser>
          <c:idx val="1"/>
          <c:order val="1"/>
          <c:tx>
            <c:v>Active Users</c:v>
          </c:tx>
          <c:spPr>
            <a:ln cmpd="sng" w="3810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Direta'!$A$18:$A$24</c:f>
            </c:strRef>
          </c:cat>
          <c:val>
            <c:numRef>
              <c:f>'Venda Direta'!$C$18:$C$24</c:f>
              <c:numCache/>
            </c:numRef>
          </c:val>
          <c:smooth val="0"/>
        </c:ser>
        <c:axId val="1996040433"/>
        <c:axId val="684345451"/>
      </c:lineChart>
      <c:catAx>
        <c:axId val="1996040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84345451"/>
      </c:catAx>
      <c:valAx>
        <c:axId val="684345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604043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Page Views</c:v>
          </c:tx>
          <c:spPr>
            <a:ln cmpd="sng" w="38100">
              <a:solidFill>
                <a:srgbClr val="674F8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Direta'!$A$29:$A$35</c:f>
            </c:strRef>
          </c:cat>
          <c:val>
            <c:numRef>
              <c:f>'Venda Direta'!$B$29:$B$35</c:f>
              <c:numCache/>
            </c:numRef>
          </c:val>
          <c:smooth val="1"/>
        </c:ser>
        <c:ser>
          <c:idx val="1"/>
          <c:order val="1"/>
          <c:tx>
            <c:v>Active Users</c:v>
          </c:tx>
          <c:spPr>
            <a:ln cmpd="sng" w="38100">
              <a:solidFill>
                <a:srgbClr val="7D5F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Direta'!$A$29:$A$35</c:f>
            </c:strRef>
          </c:cat>
          <c:val>
            <c:numRef>
              <c:f>'Venda Direta'!$C$29:$C$35</c:f>
              <c:numCache/>
            </c:numRef>
          </c:val>
          <c:smooth val="1"/>
        </c:ser>
        <c:axId val="2000322803"/>
        <c:axId val="604016139"/>
      </c:lineChart>
      <c:catAx>
        <c:axId val="2000322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04016139"/>
      </c:catAx>
      <c:valAx>
        <c:axId val="604016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03228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Page Views</c:v>
          </c:tx>
          <c:spPr>
            <a:ln cmpd="sng" w="19050">
              <a:solidFill>
                <a:srgbClr val="7E99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Direta'!$F$18:$F$24</c:f>
            </c:strRef>
          </c:cat>
          <c:val>
            <c:numRef>
              <c:f>'Venda Direta'!$G$18:$G$24</c:f>
              <c:numCache/>
            </c:numRef>
          </c:val>
          <c:smooth val="1"/>
        </c:ser>
        <c:ser>
          <c:idx val="1"/>
          <c:order val="1"/>
          <c:tx>
            <c:v>Active Users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Direta'!$F$18:$F$24</c:f>
            </c:strRef>
          </c:cat>
          <c:val>
            <c:numRef>
              <c:f>'Venda Direta'!$H$18:$H$24</c:f>
              <c:numCache/>
            </c:numRef>
          </c:val>
          <c:smooth val="1"/>
        </c:ser>
        <c:axId val="445748341"/>
        <c:axId val="2114890311"/>
      </c:lineChart>
      <c:catAx>
        <c:axId val="445748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4890311"/>
      </c:catAx>
      <c:valAx>
        <c:axId val="2114890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574834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</c:title>
    <c:plotArea>
      <c:layout/>
      <c:lineChart>
        <c:ser>
          <c:idx val="0"/>
          <c:order val="0"/>
          <c:tx>
            <c:v>Page Views</c:v>
          </c:tx>
          <c:spPr>
            <a:ln cmpd="sng" w="19050">
              <a:solidFill>
                <a:srgbClr val="674F8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Direta'!$F$29:$F$35</c:f>
            </c:strRef>
          </c:cat>
          <c:val>
            <c:numRef>
              <c:f>'Venda Direta'!$G$29:$G$35</c:f>
              <c:numCache/>
            </c:numRef>
          </c:val>
          <c:smooth val="1"/>
        </c:ser>
        <c:ser>
          <c:idx val="1"/>
          <c:order val="1"/>
          <c:tx>
            <c:v>Active Users</c:v>
          </c:tx>
          <c:spPr>
            <a:ln cmpd="sng" w="19050">
              <a:solidFill>
                <a:srgbClr val="7D5F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Direta'!$F$29:$F$35</c:f>
            </c:strRef>
          </c:cat>
          <c:val>
            <c:numRef>
              <c:f>'Venda Direta'!$H$29:$H$35</c:f>
              <c:numCache/>
            </c:numRef>
          </c:val>
          <c:smooth val="1"/>
        </c:ser>
        <c:axId val="1475394099"/>
        <c:axId val="1189666046"/>
      </c:lineChart>
      <c:catAx>
        <c:axId val="1475394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89666046"/>
      </c:catAx>
      <c:valAx>
        <c:axId val="11896660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539409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38100">
              <a:solidFill>
                <a:srgbClr val="7E99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Direta'!$A$18:$A$24</c:f>
            </c:strRef>
          </c:cat>
          <c:val>
            <c:numRef>
              <c:f>'Venda Direta'!$D$18:$D$24</c:f>
              <c:numCache/>
            </c:numRef>
          </c:val>
          <c:smooth val="1"/>
        </c:ser>
        <c:axId val="1264510638"/>
        <c:axId val="952777180"/>
      </c:lineChart>
      <c:catAx>
        <c:axId val="1264510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2777180"/>
      </c:catAx>
      <c:valAx>
        <c:axId val="952777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451063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19050">
              <a:solidFill>
                <a:srgbClr val="7E99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Direta'!$F$18:$F$24</c:f>
            </c:strRef>
          </c:cat>
          <c:val>
            <c:numRef>
              <c:f>'Venda Direta'!$I$18:$I$24</c:f>
              <c:numCache/>
            </c:numRef>
          </c:val>
          <c:smooth val="1"/>
        </c:ser>
        <c:axId val="1573033436"/>
        <c:axId val="251689295"/>
      </c:lineChart>
      <c:catAx>
        <c:axId val="1573033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51689295"/>
      </c:catAx>
      <c:valAx>
        <c:axId val="251689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303343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38100">
              <a:solidFill>
                <a:srgbClr val="674F8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Direta'!$A$29:$A$35</c:f>
            </c:strRef>
          </c:cat>
          <c:val>
            <c:numRef>
              <c:f>'Venda Direta'!$D$29:$D$35</c:f>
              <c:numCache/>
            </c:numRef>
          </c:val>
          <c:smooth val="1"/>
        </c:ser>
        <c:axId val="1036460146"/>
        <c:axId val="1675046143"/>
      </c:lineChart>
      <c:catAx>
        <c:axId val="1036460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5046143"/>
      </c:catAx>
      <c:valAx>
        <c:axId val="1675046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646014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19050">
              <a:solidFill>
                <a:srgbClr val="674F8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'Venda Direta'!$F$29:$F$35</c:f>
            </c:strRef>
          </c:cat>
          <c:val>
            <c:numRef>
              <c:f>'Venda Direta'!$I$29:$I$35</c:f>
              <c:numCache/>
            </c:numRef>
          </c:val>
          <c:smooth val="1"/>
        </c:ser>
        <c:axId val="1935009955"/>
        <c:axId val="1820440060"/>
      </c:lineChart>
      <c:catAx>
        <c:axId val="1935009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0440060"/>
      </c:catAx>
      <c:valAx>
        <c:axId val="1820440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50099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axId val="1215254976"/>
        <c:axId val="1393225140"/>
      </c:lineChart>
      <c:catAx>
        <c:axId val="1215254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3225140"/>
      </c:catAx>
      <c:valAx>
        <c:axId val="13932251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1525497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</c:title>
    <c:plotArea>
      <c:layout/>
      <c:lineChart>
        <c:axId val="1417180086"/>
        <c:axId val="999839228"/>
      </c:lineChart>
      <c:catAx>
        <c:axId val="1417180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9839228"/>
      </c:catAx>
      <c:valAx>
        <c:axId val="99983922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171800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varyColors val="0"/>
        <c:axId val="1393948383"/>
        <c:axId val="1578125179"/>
      </c:lineChart>
      <c:catAx>
        <c:axId val="1393948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8125179"/>
      </c:catAx>
      <c:valAx>
        <c:axId val="15781251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9394838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</c:title>
    <c:plotArea>
      <c:layout/>
      <c:lineChart>
        <c:varyColors val="0"/>
        <c:axId val="119587909"/>
        <c:axId val="284398366"/>
      </c:lineChart>
      <c:catAx>
        <c:axId val="119587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4398366"/>
      </c:catAx>
      <c:valAx>
        <c:axId val="28439836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958790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axId val="185085586"/>
        <c:axId val="1151578143"/>
      </c:lineChart>
      <c:catAx>
        <c:axId val="185085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1578143"/>
      </c:catAx>
      <c:valAx>
        <c:axId val="115157814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50855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</c:title>
    <c:plotArea>
      <c:layout/>
      <c:lineChart>
        <c:axId val="1488049194"/>
        <c:axId val="152647915"/>
      </c:lineChart>
      <c:catAx>
        <c:axId val="1488049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647915"/>
      </c:catAx>
      <c:valAx>
        <c:axId val="1526479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8804919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</c:title>
    <c:plotArea>
      <c:layout/>
      <c:lineChart>
        <c:varyColors val="0"/>
        <c:axId val="921313691"/>
        <c:axId val="67254463"/>
      </c:lineChart>
      <c:catAx>
        <c:axId val="921313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7254463"/>
      </c:catAx>
      <c:valAx>
        <c:axId val="6725446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2131369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</c:title>
    <c:plotArea>
      <c:layout/>
      <c:lineChart>
        <c:varyColors val="0"/>
        <c:axId val="1927780714"/>
        <c:axId val="75829209"/>
      </c:lineChart>
      <c:catAx>
        <c:axId val="1927780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829209"/>
      </c:catAx>
      <c:valAx>
        <c:axId val="758292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2778071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Porto — Views &amp; Active Users por Leilão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Views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'Leilão - Macro'!$B$93:$B$96</c:f>
            </c:strRef>
          </c:cat>
          <c:val>
            <c:numRef>
              <c:f>'Leilão - Macro'!$G$93:$G$96</c:f>
              <c:numCache/>
            </c:numRef>
          </c:val>
          <c:smooth val="0"/>
        </c:ser>
        <c:ser>
          <c:idx val="1"/>
          <c:order val="1"/>
          <c:tx>
            <c:v>Active Users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'Leilão - Macro'!$B$93:$B$96</c:f>
            </c:strRef>
          </c:cat>
          <c:val>
            <c:numRef>
              <c:f>'Leilão - Macro'!$H$93:$H$96</c:f>
              <c:numCache/>
            </c:numRef>
          </c:val>
          <c:smooth val="0"/>
        </c:ser>
        <c:axId val="1522982540"/>
        <c:axId val="11604679"/>
      </c:lineChart>
      <c:catAx>
        <c:axId val="1522982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604679"/>
      </c:catAx>
      <c:valAx>
        <c:axId val="11604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298254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Porto — New Users por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19050">
              <a:solidFill>
                <a:srgbClr val="548235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548235">
                  <a:alpha val="100000"/>
                </a:srgbClr>
              </a:solidFill>
              <a:ln cmpd="sng">
                <a:solidFill>
                  <a:srgbClr val="548235">
                    <a:alpha val="100000"/>
                  </a:srgbClr>
                </a:solidFill>
              </a:ln>
            </c:spPr>
          </c:marker>
          <c:cat>
            <c:strRef>
              <c:f>'Leilão - Macro'!$B$93:$B$96</c:f>
            </c:strRef>
          </c:cat>
          <c:val>
            <c:numRef>
              <c:f>'Leilão - Macro'!$I$93:$I$96</c:f>
              <c:numCache/>
            </c:numRef>
          </c:val>
          <c:smooth val="0"/>
        </c:ser>
        <c:axId val="1878539468"/>
        <c:axId val="93816382"/>
      </c:lineChart>
      <c:catAx>
        <c:axId val="1878539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3816382"/>
      </c:catAx>
      <c:valAx>
        <c:axId val="93816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78539468"/>
      </c:valAx>
    </c:plotArea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Bradesco — Views &amp; Active Users por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Views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'Leilão - Macro'!$B$113:$B$116</c:f>
            </c:strRef>
          </c:cat>
          <c:val>
            <c:numRef>
              <c:f>'Leilão - Macro'!$G$113:$G$116</c:f>
              <c:numCache/>
            </c:numRef>
          </c:val>
          <c:smooth val="0"/>
        </c:ser>
        <c:axId val="1068925499"/>
        <c:axId val="939548590"/>
      </c:lineChart>
      <c:catAx>
        <c:axId val="1068925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39548590"/>
      </c:catAx>
      <c:valAx>
        <c:axId val="939548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6892549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Bradesco — New Users por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19050">
              <a:solidFill>
                <a:srgbClr val="548235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548235">
                  <a:alpha val="100000"/>
                </a:srgbClr>
              </a:solidFill>
              <a:ln cmpd="sng">
                <a:solidFill>
                  <a:srgbClr val="548235">
                    <a:alpha val="100000"/>
                  </a:srgbClr>
                </a:solidFill>
              </a:ln>
            </c:spPr>
          </c:marker>
          <c:cat>
            <c:strRef>
              <c:f>'Leilão - Macro'!$B$113:$B$116</c:f>
            </c:strRef>
          </c:cat>
          <c:val>
            <c:numRef>
              <c:f>'Leilão - Macro'!$I$113:$I$116</c:f>
              <c:numCache/>
            </c:numRef>
          </c:val>
          <c:smooth val="0"/>
        </c:ser>
        <c:axId val="1500193148"/>
        <c:axId val="826212776"/>
      </c:lineChart>
      <c:catAx>
        <c:axId val="1500193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6212776"/>
      </c:catAx>
      <c:valAx>
        <c:axId val="826212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0193148"/>
      </c:valAx>
    </c:plotArea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Santander — Views &amp; Active Users por Leilão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Views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'Leilão - Macro'!$B$133:$B$140</c:f>
            </c:strRef>
          </c:cat>
          <c:val>
            <c:numRef>
              <c:f>'Leilão - Macro'!$G$133:$G$140</c:f>
              <c:numCache/>
            </c:numRef>
          </c:val>
          <c:smooth val="0"/>
        </c:ser>
        <c:ser>
          <c:idx val="1"/>
          <c:order val="1"/>
          <c:tx>
            <c:v>Active Users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'Leilão - Macro'!$B$133:$B$140</c:f>
            </c:strRef>
          </c:cat>
          <c:val>
            <c:numRef>
              <c:f>'Leilão - Macro'!$H$133:$H$140</c:f>
              <c:numCache/>
            </c:numRef>
          </c:val>
          <c:smooth val="0"/>
        </c:ser>
        <c:axId val="767680919"/>
        <c:axId val="96154736"/>
      </c:lineChart>
      <c:catAx>
        <c:axId val="767680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154736"/>
      </c:catAx>
      <c:valAx>
        <c:axId val="96154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768091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Santander — New Users por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19050">
              <a:solidFill>
                <a:srgbClr val="548235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548235">
                  <a:alpha val="100000"/>
                </a:srgbClr>
              </a:solidFill>
              <a:ln cmpd="sng">
                <a:solidFill>
                  <a:srgbClr val="548235">
                    <a:alpha val="100000"/>
                  </a:srgbClr>
                </a:solidFill>
              </a:ln>
            </c:spPr>
          </c:marker>
          <c:cat>
            <c:strRef>
              <c:f>'Leilão - Macro'!$B$133:$B$140</c:f>
            </c:strRef>
          </c:cat>
          <c:val>
            <c:numRef>
              <c:f>'Leilão - Macro'!$I$133:$I$140</c:f>
              <c:numCache/>
            </c:numRef>
          </c:val>
          <c:smooth val="0"/>
        </c:ser>
        <c:axId val="758659287"/>
        <c:axId val="1817846848"/>
      </c:lineChart>
      <c:catAx>
        <c:axId val="758659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7846848"/>
      </c:catAx>
      <c:valAx>
        <c:axId val="1817846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8659287"/>
      </c:valAx>
    </c:plotArea>
    <c:plotVisOnly val="1"/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Goiânia — Views &amp; Active Users por Leilão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Views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'Leilão - Macro'!$B$153:$B$163</c:f>
            </c:strRef>
          </c:cat>
          <c:val>
            <c:numRef>
              <c:f>'Leilão - Macro'!$G$153:$G$163</c:f>
              <c:numCache/>
            </c:numRef>
          </c:val>
          <c:smooth val="0"/>
        </c:ser>
        <c:ser>
          <c:idx val="1"/>
          <c:order val="1"/>
          <c:tx>
            <c:v>Active Users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'Leilão - Macro'!$B$153:$B$163</c:f>
            </c:strRef>
          </c:cat>
          <c:val>
            <c:numRef>
              <c:f>'Leilão - Macro'!$H$153:$H$163</c:f>
              <c:numCache/>
            </c:numRef>
          </c:val>
          <c:smooth val="0"/>
        </c:ser>
        <c:axId val="2109110432"/>
        <c:axId val="921142225"/>
      </c:lineChart>
      <c:catAx>
        <c:axId val="210911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1142225"/>
      </c:catAx>
      <c:valAx>
        <c:axId val="921142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911043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Goiânia — New Users por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19050">
              <a:solidFill>
                <a:srgbClr val="548235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548235">
                  <a:alpha val="100000"/>
                </a:srgbClr>
              </a:solidFill>
              <a:ln cmpd="sng">
                <a:solidFill>
                  <a:srgbClr val="548235">
                    <a:alpha val="100000"/>
                  </a:srgbClr>
                </a:solidFill>
              </a:ln>
            </c:spPr>
          </c:marker>
          <c:cat>
            <c:strRef>
              <c:f>'Leilão - Macro'!$B$153:$B$163</c:f>
            </c:strRef>
          </c:cat>
          <c:val>
            <c:numRef>
              <c:f>'Leilão - Macro'!$I$153:$I$163</c:f>
              <c:numCache/>
            </c:numRef>
          </c:val>
          <c:smooth val="0"/>
        </c:ser>
        <c:axId val="1931598042"/>
        <c:axId val="878835668"/>
      </c:lineChart>
      <c:catAx>
        <c:axId val="1931598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78835668"/>
      </c:catAx>
      <c:valAx>
        <c:axId val="878835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1598042"/>
      </c:valAx>
    </c:plotArea>
    <c:plotVisOnly val="1"/>
  </c:chart>
  <c:spPr>
    <a:solidFill>
      <a:srgbClr val="FFFFFF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Curitiba — Views &amp; Active Users por Leilão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Views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'Leilão - Macro'!$B$173:$B$180</c:f>
            </c:strRef>
          </c:cat>
          <c:val>
            <c:numRef>
              <c:f>'Leilão - Macro'!$G$173:$G$180</c:f>
              <c:numCache/>
            </c:numRef>
          </c:val>
          <c:smooth val="0"/>
        </c:ser>
        <c:ser>
          <c:idx val="1"/>
          <c:order val="1"/>
          <c:tx>
            <c:v>Active Users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'Leilão - Macro'!$B$173:$B$180</c:f>
            </c:strRef>
          </c:cat>
          <c:val>
            <c:numRef>
              <c:f>'Leilão - Macro'!$H$173:$H$180</c:f>
              <c:numCache/>
            </c:numRef>
          </c:val>
          <c:smooth val="0"/>
        </c:ser>
        <c:axId val="892641316"/>
        <c:axId val="57836425"/>
      </c:lineChart>
      <c:catAx>
        <c:axId val="892641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836425"/>
      </c:catAx>
      <c:valAx>
        <c:axId val="57836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9264131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Curitiba — New Users por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19050">
              <a:solidFill>
                <a:srgbClr val="548235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548235">
                  <a:alpha val="100000"/>
                </a:srgbClr>
              </a:solidFill>
              <a:ln cmpd="sng">
                <a:solidFill>
                  <a:srgbClr val="548235">
                    <a:alpha val="100000"/>
                  </a:srgbClr>
                </a:solidFill>
              </a:ln>
            </c:spPr>
          </c:marker>
          <c:cat>
            <c:strRef>
              <c:f>'Leilão - Macro'!$B$173:$B$180</c:f>
            </c:strRef>
          </c:cat>
          <c:val>
            <c:numRef>
              <c:f>'Leilão - Macro'!$I$173:$I$180</c:f>
              <c:numCache/>
            </c:numRef>
          </c:val>
          <c:smooth val="0"/>
        </c:ser>
        <c:axId val="1418707138"/>
        <c:axId val="1762424422"/>
      </c:lineChart>
      <c:catAx>
        <c:axId val="1418707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62424422"/>
      </c:catAx>
      <c:valAx>
        <c:axId val="1762424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8707138"/>
      </c:valAx>
    </c:plotArea>
    <c:plotVisOnly val="1"/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Porto — Exito do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Êxito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'Leilão - Macro'!$B$93:$B$96</c:f>
            </c:strRef>
          </c:cat>
          <c:val>
            <c:numRef>
              <c:f>'Leilão - Macro'!$D$93:$D$96</c:f>
              <c:numCache/>
            </c:numRef>
          </c:val>
          <c:smooth val="0"/>
        </c:ser>
        <c:axId val="1232852688"/>
        <c:axId val="619276047"/>
      </c:lineChart>
      <c:catAx>
        <c:axId val="123285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19276047"/>
      </c:catAx>
      <c:valAx>
        <c:axId val="619276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232852688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Bradesco — Exito do leilão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Êxito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'Leilão - Macro'!$B$113:$B$116</c:f>
            </c:strRef>
          </c:cat>
          <c:val>
            <c:numRef>
              <c:f>'Leilão - Macro'!$D$113:$D$116</c:f>
              <c:numCache/>
            </c:numRef>
          </c:val>
          <c:smooth val="0"/>
        </c:ser>
        <c:ser>
          <c:idx val="1"/>
          <c:order val="1"/>
          <c:tx>
            <c:v>Êxito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'Leilão - Macro'!$B$113:$B$116</c:f>
            </c:strRef>
          </c:cat>
          <c:val>
            <c:numRef>
              <c:f>'Leilão - Macro'!$D$113:$D$116</c:f>
              <c:numCache/>
            </c:numRef>
          </c:val>
          <c:smooth val="0"/>
        </c:ser>
        <c:axId val="2016056010"/>
        <c:axId val="245638246"/>
      </c:lineChart>
      <c:catAx>
        <c:axId val="2016056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45638246"/>
      </c:catAx>
      <c:valAx>
        <c:axId val="245638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16056010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Santander — Exito do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Êxito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'Leilão - Macro'!$B$133:$B$140</c:f>
            </c:strRef>
          </c:cat>
          <c:val>
            <c:numRef>
              <c:f>'Leilão - Macro'!$D$133:$D$140</c:f>
              <c:numCache/>
            </c:numRef>
          </c:val>
          <c:smooth val="0"/>
        </c:ser>
        <c:axId val="754925941"/>
        <c:axId val="1518246983"/>
      </c:lineChart>
      <c:catAx>
        <c:axId val="754925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18246983"/>
      </c:catAx>
      <c:valAx>
        <c:axId val="1518246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54925941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Goiânia — Exito do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Users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'Leilão - Macro'!$B$153:$B$163</c:f>
            </c:strRef>
          </c:cat>
          <c:val>
            <c:numRef>
              <c:f>'Leilão - Macro'!$I$153:$I$163</c:f>
              <c:numCache/>
            </c:numRef>
          </c:val>
          <c:smooth val="0"/>
        </c:ser>
        <c:axId val="623721664"/>
        <c:axId val="1571705971"/>
      </c:lineChart>
      <c:catAx>
        <c:axId val="62372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71705971"/>
      </c:catAx>
      <c:valAx>
        <c:axId val="1571705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23721664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Curitiba — Exito do leilão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Êxito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'Leilão - Macro'!$B$173:$B$180</c:f>
            </c:strRef>
          </c:cat>
          <c:val>
            <c:numRef>
              <c:f>'Leilão - Macro'!$D$173:$D$180</c:f>
              <c:numCache/>
            </c:numRef>
          </c:val>
          <c:smooth val="0"/>
        </c:ser>
        <c:axId val="923076262"/>
        <c:axId val="1377223888"/>
      </c:lineChart>
      <c:catAx>
        <c:axId val="923076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77223888"/>
      </c:catAx>
      <c:valAx>
        <c:axId val="1377223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923076262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3.png"/><Relationship Id="rId13" Type="http://schemas.openxmlformats.org/officeDocument/2006/relationships/image" Target="../media/image5.png"/><Relationship Id="rId12" Type="http://schemas.openxmlformats.org/officeDocument/2006/relationships/image" Target="../media/image1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9.xml"/><Relationship Id="rId10" Type="http://schemas.openxmlformats.org/officeDocument/2006/relationships/chart" Target="../charts/chart18.xml"/><Relationship Id="rId13" Type="http://schemas.openxmlformats.org/officeDocument/2006/relationships/chart" Target="../charts/chart21.xml"/><Relationship Id="rId12" Type="http://schemas.openxmlformats.org/officeDocument/2006/relationships/chart" Target="../charts/chart20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5" Type="http://schemas.openxmlformats.org/officeDocument/2006/relationships/chart" Target="../charts/chart23.xml"/><Relationship Id="rId14" Type="http://schemas.openxmlformats.org/officeDocument/2006/relationships/chart" Target="../charts/chart22.xml"/><Relationship Id="rId16" Type="http://schemas.openxmlformats.org/officeDocument/2006/relationships/chart" Target="../charts/chart24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5.xml"/><Relationship Id="rId10" Type="http://schemas.openxmlformats.org/officeDocument/2006/relationships/chart" Target="../charts/chart34.xml"/><Relationship Id="rId13" Type="http://schemas.openxmlformats.org/officeDocument/2006/relationships/chart" Target="../charts/chart37.xml"/><Relationship Id="rId12" Type="http://schemas.openxmlformats.org/officeDocument/2006/relationships/chart" Target="../charts/chart36.xml"/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5" Type="http://schemas.openxmlformats.org/officeDocument/2006/relationships/chart" Target="../charts/chart39.xml"/><Relationship Id="rId14" Type="http://schemas.openxmlformats.org/officeDocument/2006/relationships/chart" Target="../charts/chart38.xml"/><Relationship Id="rId16" Type="http://schemas.openxmlformats.org/officeDocument/2006/relationships/image" Target="../media/image6.png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571500</xdr:colOff>
      <xdr:row>16</xdr:row>
      <xdr:rowOff>28575</xdr:rowOff>
    </xdr:from>
    <xdr:ext cx="5095875" cy="26003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36</xdr:col>
      <xdr:colOff>95250</xdr:colOff>
      <xdr:row>0</xdr:row>
      <xdr:rowOff>238125</xdr:rowOff>
    </xdr:from>
    <xdr:ext cx="4962525" cy="26193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495300</xdr:colOff>
      <xdr:row>0</xdr:row>
      <xdr:rowOff>228600</xdr:rowOff>
    </xdr:from>
    <xdr:ext cx="5210175" cy="27622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36</xdr:col>
      <xdr:colOff>133350</xdr:colOff>
      <xdr:row>15</xdr:row>
      <xdr:rowOff>95250</xdr:rowOff>
    </xdr:from>
    <xdr:ext cx="4972050" cy="261937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581025</xdr:colOff>
      <xdr:row>31</xdr:row>
      <xdr:rowOff>114300</xdr:rowOff>
    </xdr:from>
    <xdr:ext cx="5105400" cy="26003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36</xdr:col>
      <xdr:colOff>180975</xdr:colOff>
      <xdr:row>31</xdr:row>
      <xdr:rowOff>66675</xdr:rowOff>
    </xdr:from>
    <xdr:ext cx="4962525" cy="26193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26</xdr:col>
      <xdr:colOff>581025</xdr:colOff>
      <xdr:row>47</xdr:row>
      <xdr:rowOff>85725</xdr:rowOff>
    </xdr:from>
    <xdr:ext cx="5095875" cy="26003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36</xdr:col>
      <xdr:colOff>190500</xdr:colOff>
      <xdr:row>47</xdr:row>
      <xdr:rowOff>38100</xdr:rowOff>
    </xdr:from>
    <xdr:ext cx="4962525" cy="26289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28575</xdr:colOff>
      <xdr:row>6</xdr:row>
      <xdr:rowOff>104775</xdr:rowOff>
    </xdr:from>
    <xdr:ext cx="361950" cy="409575"/>
    <xdr:pic>
      <xdr:nvPicPr>
        <xdr:cNvPr descr="Seta para Direita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16</xdr:row>
      <xdr:rowOff>76200</xdr:rowOff>
    </xdr:from>
    <xdr:ext cx="352425" cy="400050"/>
    <xdr:pic>
      <xdr:nvPicPr>
        <xdr:cNvPr descr="Seta para Direita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1095375</xdr:colOff>
      <xdr:row>28</xdr:row>
      <xdr:rowOff>0</xdr:rowOff>
    </xdr:from>
    <xdr:ext cx="619125" cy="400050"/>
    <xdr:pic>
      <xdr:nvPicPr>
        <xdr:cNvPr descr="Seta para Direita com preenchimento sólido"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1238250</xdr:colOff>
      <xdr:row>39</xdr:row>
      <xdr:rowOff>133350</xdr:rowOff>
    </xdr:from>
    <xdr:ext cx="342900" cy="895350"/>
    <xdr:pic>
      <xdr:nvPicPr>
        <xdr:cNvPr descr="Seta para Direita com preenchimento sólido"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371475</xdr:colOff>
      <xdr:row>0</xdr:row>
      <xdr:rowOff>95250</xdr:rowOff>
    </xdr:from>
    <xdr:ext cx="352425" cy="381000"/>
    <xdr:pic>
      <xdr:nvPicPr>
        <xdr:cNvPr descr="Seta para Direita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457200</xdr:colOff>
      <xdr:row>14</xdr:row>
      <xdr:rowOff>76200</xdr:rowOff>
    </xdr:from>
    <xdr:ext cx="342900" cy="409575"/>
    <xdr:pic>
      <xdr:nvPicPr>
        <xdr:cNvPr descr="Seta para Direita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28</xdr:row>
      <xdr:rowOff>28575</xdr:rowOff>
    </xdr:from>
    <xdr:ext cx="361950" cy="400050"/>
    <xdr:pic>
      <xdr:nvPicPr>
        <xdr:cNvPr descr="Seta para Direita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42</xdr:row>
      <xdr:rowOff>47625</xdr:rowOff>
    </xdr:from>
    <xdr:ext cx="361950" cy="409575"/>
    <xdr:pic>
      <xdr:nvPicPr>
        <xdr:cNvPr descr="Seta para Direita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895350</xdr:colOff>
      <xdr:row>25</xdr:row>
      <xdr:rowOff>114300</xdr:rowOff>
    </xdr:from>
    <xdr:ext cx="847725" cy="942975"/>
    <xdr:pic>
      <xdr:nvPicPr>
        <xdr:cNvPr descr="Fusão com preenchimento sólido"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11</xdr:row>
      <xdr:rowOff>133350</xdr:rowOff>
    </xdr:from>
    <xdr:ext cx="885825" cy="952500"/>
    <xdr:pic>
      <xdr:nvPicPr>
        <xdr:cNvPr descr="Fusão com preenchimento sólido"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571500</xdr:colOff>
      <xdr:row>38</xdr:row>
      <xdr:rowOff>104775</xdr:rowOff>
    </xdr:from>
    <xdr:ext cx="866775" cy="942975"/>
    <xdr:pic>
      <xdr:nvPicPr>
        <xdr:cNvPr descr="Fusão com preenchimento sólido"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56</xdr:row>
      <xdr:rowOff>19050</xdr:rowOff>
    </xdr:from>
    <xdr:ext cx="800100" cy="409575"/>
    <xdr:pic>
      <xdr:nvPicPr>
        <xdr:cNvPr descr="Seta para Direita com preenchimento sólido"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57</xdr:row>
      <xdr:rowOff>47625</xdr:rowOff>
    </xdr:from>
    <xdr:ext cx="361950" cy="409575"/>
    <xdr:pic>
      <xdr:nvPicPr>
        <xdr:cNvPr descr="Seta para Direita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742950</xdr:colOff>
      <xdr:row>53</xdr:row>
      <xdr:rowOff>85725</xdr:rowOff>
    </xdr:from>
    <xdr:ext cx="847725" cy="942975"/>
    <xdr:pic>
      <xdr:nvPicPr>
        <xdr:cNvPr descr="Fusão com preenchimento sólido"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41</xdr:row>
      <xdr:rowOff>19050</xdr:rowOff>
    </xdr:from>
    <xdr:ext cx="5095875" cy="2705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57150</xdr:rowOff>
    </xdr:from>
    <xdr:ext cx="5086350" cy="25717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257175</xdr:colOff>
      <xdr:row>41</xdr:row>
      <xdr:rowOff>114300</xdr:rowOff>
    </xdr:from>
    <xdr:ext cx="5095875" cy="26574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781050</xdr:colOff>
      <xdr:row>70</xdr:row>
      <xdr:rowOff>19050</xdr:rowOff>
    </xdr:from>
    <xdr:ext cx="5076825" cy="27051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581025</xdr:colOff>
      <xdr:row>57</xdr:row>
      <xdr:rowOff>0</xdr:rowOff>
    </xdr:from>
    <xdr:ext cx="4391025" cy="20288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352425</xdr:colOff>
      <xdr:row>57</xdr:row>
      <xdr:rowOff>28575</xdr:rowOff>
    </xdr:from>
    <xdr:ext cx="4552950" cy="207645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228600</xdr:colOff>
      <xdr:row>84</xdr:row>
      <xdr:rowOff>76200</xdr:rowOff>
    </xdr:from>
    <xdr:ext cx="4371975" cy="180975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504825</xdr:colOff>
      <xdr:row>86</xdr:row>
      <xdr:rowOff>9525</xdr:rowOff>
    </xdr:from>
    <xdr:ext cx="3990975" cy="185737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295275</xdr:colOff>
      <xdr:row>41</xdr:row>
      <xdr:rowOff>152400</xdr:rowOff>
    </xdr:from>
    <xdr:ext cx="5086350" cy="264795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285750</xdr:colOff>
      <xdr:row>70</xdr:row>
      <xdr:rowOff>47625</xdr:rowOff>
    </xdr:from>
    <xdr:ext cx="4857750" cy="269557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16</xdr:col>
      <xdr:colOff>9525</xdr:colOff>
      <xdr:row>57</xdr:row>
      <xdr:rowOff>47625</xdr:rowOff>
    </xdr:from>
    <xdr:ext cx="4562475" cy="2085975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16</xdr:col>
      <xdr:colOff>142875</xdr:colOff>
      <xdr:row>86</xdr:row>
      <xdr:rowOff>28575</xdr:rowOff>
    </xdr:from>
    <xdr:ext cx="3848100" cy="186690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23</xdr:col>
      <xdr:colOff>581025</xdr:colOff>
      <xdr:row>41</xdr:row>
      <xdr:rowOff>114300</xdr:rowOff>
    </xdr:from>
    <xdr:ext cx="5162550" cy="2647950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23</xdr:col>
      <xdr:colOff>285750</xdr:colOff>
      <xdr:row>70</xdr:row>
      <xdr:rowOff>0</xdr:rowOff>
    </xdr:from>
    <xdr:ext cx="5191125" cy="2714625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24</xdr:col>
      <xdr:colOff>57150</xdr:colOff>
      <xdr:row>57</xdr:row>
      <xdr:rowOff>9525</xdr:rowOff>
    </xdr:from>
    <xdr:ext cx="4600575" cy="2085975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24</xdr:col>
      <xdr:colOff>47625</xdr:colOff>
      <xdr:row>86</xdr:row>
      <xdr:rowOff>0</xdr:rowOff>
    </xdr:from>
    <xdr:ext cx="4029075" cy="1857375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90</xdr:row>
      <xdr:rowOff>38100</xdr:rowOff>
    </xdr:from>
    <xdr:ext cx="5429250" cy="28670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704850</xdr:colOff>
      <xdr:row>90</xdr:row>
      <xdr:rowOff>47625</xdr:rowOff>
    </xdr:from>
    <xdr:ext cx="5476875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152400</xdr:colOff>
      <xdr:row>110</xdr:row>
      <xdr:rowOff>57150</xdr:rowOff>
    </xdr:from>
    <xdr:ext cx="5438775" cy="28479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685800</xdr:colOff>
      <xdr:row>110</xdr:row>
      <xdr:rowOff>47625</xdr:rowOff>
    </xdr:from>
    <xdr:ext cx="5476875" cy="28479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180975</xdr:colOff>
      <xdr:row>130</xdr:row>
      <xdr:rowOff>57150</xdr:rowOff>
    </xdr:from>
    <xdr:ext cx="5448300" cy="28575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685800</xdr:colOff>
      <xdr:row>130</xdr:row>
      <xdr:rowOff>57150</xdr:rowOff>
    </xdr:from>
    <xdr:ext cx="5476875" cy="285750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257175</xdr:colOff>
      <xdr:row>150</xdr:row>
      <xdr:rowOff>38100</xdr:rowOff>
    </xdr:from>
    <xdr:ext cx="5448300" cy="282892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19</xdr:col>
      <xdr:colOff>714375</xdr:colOff>
      <xdr:row>150</xdr:row>
      <xdr:rowOff>19050</xdr:rowOff>
    </xdr:from>
    <xdr:ext cx="5467350" cy="2828925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123825</xdr:colOff>
      <xdr:row>170</xdr:row>
      <xdr:rowOff>66675</xdr:rowOff>
    </xdr:from>
    <xdr:ext cx="5448300" cy="2847975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19</xdr:col>
      <xdr:colOff>619125</xdr:colOff>
      <xdr:row>170</xdr:row>
      <xdr:rowOff>57150</xdr:rowOff>
    </xdr:from>
    <xdr:ext cx="5467350" cy="284797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29</xdr:col>
      <xdr:colOff>161925</xdr:colOff>
      <xdr:row>90</xdr:row>
      <xdr:rowOff>47625</xdr:rowOff>
    </xdr:from>
    <xdr:ext cx="5476875" cy="286702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29</xdr:col>
      <xdr:colOff>219075</xdr:colOff>
      <xdr:row>110</xdr:row>
      <xdr:rowOff>19050</xdr:rowOff>
    </xdr:from>
    <xdr:ext cx="5476875" cy="2847975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29</xdr:col>
      <xdr:colOff>409575</xdr:colOff>
      <xdr:row>130</xdr:row>
      <xdr:rowOff>0</xdr:rowOff>
    </xdr:from>
    <xdr:ext cx="5448300" cy="2838450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29</xdr:col>
      <xdr:colOff>390525</xdr:colOff>
      <xdr:row>150</xdr:row>
      <xdr:rowOff>47625</xdr:rowOff>
    </xdr:from>
    <xdr:ext cx="5448300" cy="2847975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29</xdr:col>
      <xdr:colOff>238125</xdr:colOff>
      <xdr:row>170</xdr:row>
      <xdr:rowOff>66675</xdr:rowOff>
    </xdr:from>
    <xdr:ext cx="5467350" cy="283845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13</xdr:col>
      <xdr:colOff>762000</xdr:colOff>
      <xdr:row>45</xdr:row>
      <xdr:rowOff>104775</xdr:rowOff>
    </xdr:from>
    <xdr:ext cx="857250" cy="895350"/>
    <xdr:pic>
      <xdr:nvPicPr>
        <xdr:cNvPr descr="Fusão com preenchimento sólido"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762000</xdr:colOff>
      <xdr:row>13</xdr:row>
      <xdr:rowOff>47625</xdr:rowOff>
    </xdr:from>
    <xdr:ext cx="847725" cy="914400"/>
    <xdr:pic>
      <xdr:nvPicPr>
        <xdr:cNvPr descr="Fusão com preenchimento sólido"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723900</xdr:colOff>
      <xdr:row>29</xdr:row>
      <xdr:rowOff>47625</xdr:rowOff>
    </xdr:from>
    <xdr:ext cx="866775" cy="895350"/>
    <xdr:pic>
      <xdr:nvPicPr>
        <xdr:cNvPr descr="Fusão com preenchimento sólido"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62</xdr:row>
      <xdr:rowOff>161925</xdr:rowOff>
    </xdr:from>
    <xdr:ext cx="857250" cy="904875"/>
    <xdr:pic>
      <xdr:nvPicPr>
        <xdr:cNvPr descr="Fusão com preenchimento sólido"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13</xdr:row>
      <xdr:rowOff>152400</xdr:rowOff>
    </xdr:from>
    <xdr:ext cx="1800225" cy="1343025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34</xdr:row>
      <xdr:rowOff>171450</xdr:rowOff>
    </xdr:from>
    <xdr:ext cx="1409700" cy="1171575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54</xdr:row>
      <xdr:rowOff>66675</xdr:rowOff>
    </xdr:from>
    <xdr:ext cx="904875" cy="895350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11</xdr:row>
      <xdr:rowOff>85725</xdr:rowOff>
    </xdr:from>
    <xdr:ext cx="885825" cy="1047750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25</xdr:row>
      <xdr:rowOff>133350</xdr:rowOff>
    </xdr:from>
    <xdr:ext cx="885825" cy="1047750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43</xdr:row>
      <xdr:rowOff>66675</xdr:rowOff>
    </xdr:from>
    <xdr:ext cx="885825" cy="1057275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11</xdr:row>
      <xdr:rowOff>85725</xdr:rowOff>
    </xdr:from>
    <xdr:ext cx="895350" cy="904875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25</xdr:row>
      <xdr:rowOff>142875</xdr:rowOff>
    </xdr:from>
    <xdr:ext cx="895350" cy="904875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46</xdr:row>
      <xdr:rowOff>66675</xdr:rowOff>
    </xdr:from>
    <xdr:ext cx="904875" cy="895350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24</xdr:row>
      <xdr:rowOff>152400</xdr:rowOff>
    </xdr:from>
    <xdr:ext cx="923925" cy="1047750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94</xdr:row>
      <xdr:rowOff>123825</xdr:rowOff>
    </xdr:from>
    <xdr:ext cx="933450" cy="1057275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56</xdr:row>
      <xdr:rowOff>76200</xdr:rowOff>
    </xdr:from>
    <xdr:ext cx="923925" cy="1047750"/>
    <xdr:pic>
      <xdr:nvPicPr>
        <xdr:cNvPr descr="Fusão com preenchimento sólido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Victoria Oliveira" id="{85776157-1671-4544-a5cf-0b543130b19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9-08T21:07:35.00" personId="{85776157-1671-4544-a5cf-0b543130b19f}" id="{d11ed36c-b024-4169-bcc7-7e2a2f2d8154}" done="0">
    <x18tc:text xml:space="preserve">Compre agora - 30 a 1</x18tc:text>
  </x18tc:threadedComment>
  <x18tc:threadedComment ref="B20" dT="2026-09-08T21:07:35.00" personId="{85776157-1671-4544-a5cf-0b543130b19f}" id="{2c95cc1c-8bbc-4943-b27a-8ed6cf9b1569}" done="0">
    <x18tc:text xml:space="preserve">Compre agora - 30 a 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0.29"/>
    <col customWidth="1" min="3" max="3" width="18.57"/>
    <col customWidth="1" min="4" max="4" width="10.71"/>
    <col customWidth="1" min="5" max="5" width="4.57"/>
    <col customWidth="1" min="6" max="6" width="15.14"/>
    <col customWidth="1" min="7" max="7" width="10.14"/>
    <col customWidth="1" min="8" max="8" width="13.0"/>
    <col customWidth="1" min="9" max="9" width="19.43"/>
    <col customWidth="1" min="10" max="11" width="3.0"/>
    <col customWidth="1" min="12" max="12" width="8.57"/>
    <col customWidth="1" min="13" max="13" width="12.29"/>
    <col customWidth="1" min="14" max="15" width="8.43"/>
    <col customWidth="1" min="16" max="16" width="9.43"/>
    <col customWidth="1" min="17" max="17" width="13.86"/>
    <col customWidth="1" min="18" max="18" width="9.43"/>
    <col customWidth="1" min="19" max="19" width="8.57"/>
    <col customWidth="1" min="20" max="20" width="12.29"/>
    <col customWidth="1" min="21" max="21" width="2.14"/>
    <col customWidth="1" min="22" max="22" width="8.57"/>
    <col customWidth="1" min="23" max="23" width="12.86"/>
    <col customWidth="1" min="24" max="46" width="8.57"/>
  </cols>
  <sheetData>
    <row r="1" ht="24.0" customHeight="1">
      <c r="A1" s="49" t="s">
        <v>37</v>
      </c>
      <c r="B1" s="50"/>
      <c r="C1" s="50"/>
      <c r="D1" s="51"/>
      <c r="E1" s="53"/>
      <c r="F1" s="54" t="s">
        <v>38</v>
      </c>
      <c r="G1" s="37"/>
      <c r="H1" s="37"/>
      <c r="I1" s="28"/>
      <c r="L1" s="55" t="s">
        <v>39</v>
      </c>
      <c r="M1" s="28"/>
      <c r="N1" s="56"/>
      <c r="O1" s="56"/>
      <c r="P1" s="55" t="s">
        <v>40</v>
      </c>
      <c r="Q1" s="28"/>
      <c r="R1" s="56"/>
      <c r="S1" s="55" t="s">
        <v>30</v>
      </c>
      <c r="T1" s="28"/>
      <c r="U1" s="6"/>
      <c r="V1" s="55" t="s">
        <v>30</v>
      </c>
      <c r="W1" s="28"/>
    </row>
    <row r="2" ht="16.5" customHeight="1">
      <c r="A2" s="57" t="s">
        <v>41</v>
      </c>
      <c r="B2" s="58" t="s">
        <v>42</v>
      </c>
      <c r="C2" s="58" t="s">
        <v>43</v>
      </c>
      <c r="D2" s="59" t="s">
        <v>44</v>
      </c>
      <c r="E2" s="53"/>
      <c r="F2" s="11" t="s">
        <v>15</v>
      </c>
      <c r="G2" s="11" t="s">
        <v>9</v>
      </c>
      <c r="H2" s="11" t="s">
        <v>10</v>
      </c>
      <c r="I2" s="11" t="s">
        <v>45</v>
      </c>
      <c r="J2" s="6"/>
      <c r="K2" s="6"/>
      <c r="L2" s="11" t="s">
        <v>8</v>
      </c>
      <c r="M2" s="11" t="s">
        <v>9</v>
      </c>
      <c r="N2" s="6"/>
      <c r="O2" s="6"/>
      <c r="P2" s="11" t="s">
        <v>8</v>
      </c>
      <c r="Q2" s="11" t="s">
        <v>10</v>
      </c>
      <c r="R2" s="6"/>
      <c r="S2" s="11" t="s">
        <v>8</v>
      </c>
      <c r="T2" s="11" t="s">
        <v>9</v>
      </c>
      <c r="U2" s="6"/>
      <c r="V2" s="11" t="s">
        <v>8</v>
      </c>
      <c r="W2" s="11" t="s">
        <v>10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ht="15.0" customHeight="1">
      <c r="A3" s="60">
        <v>46264.0</v>
      </c>
      <c r="B3" s="61">
        <v>462.0</v>
      </c>
      <c r="C3" s="61">
        <v>227.0</v>
      </c>
      <c r="D3" s="64">
        <v>0.42</v>
      </c>
      <c r="F3" s="15" t="s">
        <v>46</v>
      </c>
      <c r="G3" s="22">
        <v>462.0</v>
      </c>
      <c r="H3" s="22">
        <v>227.0</v>
      </c>
      <c r="I3" s="66">
        <f t="shared" ref="I3:I10" si="1">H3/G3</f>
        <v>0.4913419913</v>
      </c>
      <c r="L3" s="13" t="s">
        <v>21</v>
      </c>
      <c r="M3" s="14">
        <v>1231.0</v>
      </c>
      <c r="N3" s="67">
        <f t="shared" ref="N3:N13" si="2">M3/$M$13</f>
        <v>0.3014939995</v>
      </c>
      <c r="O3" s="67"/>
      <c r="P3" s="13" t="s">
        <v>21</v>
      </c>
      <c r="Q3" s="14">
        <v>1106.0</v>
      </c>
      <c r="R3" s="67">
        <f t="shared" ref="R3:R13" si="3">Q3/$Q$13</f>
        <v>0.4814976056</v>
      </c>
      <c r="S3" s="68" t="str">
        <f t="shared" ref="S3:S13" si="4">L3</f>
        <v>SP</v>
      </c>
      <c r="T3" s="69">
        <f t="shared" ref="T3:T13" si="5">IFERROR((M17-M3)/M3,"")</f>
        <v>0.0105605199</v>
      </c>
      <c r="V3" s="68" t="str">
        <f t="shared" ref="V3:V13" si="6">P3</f>
        <v>SP</v>
      </c>
      <c r="W3" s="69">
        <f t="shared" ref="W3:W7" si="7">IFERROR((Q17-Q3)/Q3,"")</f>
        <v>-0.01084990958</v>
      </c>
    </row>
    <row r="4" ht="14.25" customHeight="1">
      <c r="A4" s="60">
        <v>46265.0</v>
      </c>
      <c r="B4" s="61">
        <v>705.0</v>
      </c>
      <c r="C4" s="61">
        <v>426.0</v>
      </c>
      <c r="D4" s="70">
        <v>0.41</v>
      </c>
      <c r="F4" s="13" t="s">
        <v>48</v>
      </c>
      <c r="G4" s="14">
        <v>705.0</v>
      </c>
      <c r="H4" s="14">
        <v>426.0</v>
      </c>
      <c r="I4" s="74">
        <f t="shared" si="1"/>
        <v>0.6042553191</v>
      </c>
      <c r="L4" s="15" t="s">
        <v>24</v>
      </c>
      <c r="M4" s="22">
        <v>185.0</v>
      </c>
      <c r="N4" s="67">
        <f t="shared" si="2"/>
        <v>0.04530982121</v>
      </c>
      <c r="O4" s="67"/>
      <c r="P4" s="15" t="s">
        <v>24</v>
      </c>
      <c r="Q4" s="22">
        <v>176.0</v>
      </c>
      <c r="R4" s="67">
        <f t="shared" si="3"/>
        <v>0.07662168045</v>
      </c>
      <c r="S4" s="68" t="str">
        <f t="shared" si="4"/>
        <v>RJ</v>
      </c>
      <c r="T4" s="69">
        <f t="shared" si="5"/>
        <v>0.04324324324</v>
      </c>
      <c r="V4" s="68" t="str">
        <f t="shared" si="6"/>
        <v>RJ</v>
      </c>
      <c r="W4" s="69">
        <f t="shared" si="7"/>
        <v>0.04545454545</v>
      </c>
    </row>
    <row r="5" ht="14.25" customHeight="1">
      <c r="A5" s="75">
        <v>46266.0</v>
      </c>
      <c r="B5" s="76">
        <v>679.0</v>
      </c>
      <c r="C5" s="76">
        <v>372.0</v>
      </c>
      <c r="D5" s="77">
        <v>0.39</v>
      </c>
      <c r="F5" s="15" t="s">
        <v>49</v>
      </c>
      <c r="G5" s="22">
        <v>679.0</v>
      </c>
      <c r="H5" s="22">
        <v>372.0</v>
      </c>
      <c r="I5" s="74">
        <f t="shared" si="1"/>
        <v>0.5478645066</v>
      </c>
      <c r="L5" s="15" t="s">
        <v>26</v>
      </c>
      <c r="M5" s="22">
        <v>231.0</v>
      </c>
      <c r="N5" s="67">
        <f t="shared" si="2"/>
        <v>0.05657604702</v>
      </c>
      <c r="O5" s="67"/>
      <c r="P5" s="15" t="s">
        <v>26</v>
      </c>
      <c r="Q5" s="22">
        <v>211.0</v>
      </c>
      <c r="R5" s="67">
        <f t="shared" si="3"/>
        <v>0.09185894645</v>
      </c>
      <c r="S5" s="68" t="str">
        <f t="shared" si="4"/>
        <v>MG</v>
      </c>
      <c r="T5" s="69">
        <f t="shared" si="5"/>
        <v>-0.1731601732</v>
      </c>
      <c r="V5" s="68" t="str">
        <f t="shared" si="6"/>
        <v>MG</v>
      </c>
      <c r="W5" s="69">
        <f t="shared" si="7"/>
        <v>-0.05687203791</v>
      </c>
    </row>
    <row r="6" ht="14.25" customHeight="1">
      <c r="A6" s="75">
        <v>46267.0</v>
      </c>
      <c r="B6" s="76">
        <v>698.0</v>
      </c>
      <c r="C6" s="76">
        <v>365.0</v>
      </c>
      <c r="D6" s="77">
        <v>0.38</v>
      </c>
      <c r="F6" s="15" t="s">
        <v>50</v>
      </c>
      <c r="G6" s="22">
        <v>698.0</v>
      </c>
      <c r="H6" s="22">
        <v>365.0</v>
      </c>
      <c r="I6" s="74">
        <f t="shared" si="1"/>
        <v>0.5229226361</v>
      </c>
      <c r="L6" s="15" t="s">
        <v>51</v>
      </c>
      <c r="M6" s="22">
        <v>161.0</v>
      </c>
      <c r="N6" s="67">
        <f t="shared" si="2"/>
        <v>0.03943179035</v>
      </c>
      <c r="O6" s="67"/>
      <c r="P6" s="15" t="s">
        <v>51</v>
      </c>
      <c r="Q6" s="22">
        <v>150.0</v>
      </c>
      <c r="R6" s="67">
        <f t="shared" si="3"/>
        <v>0.06530256857</v>
      </c>
      <c r="S6" s="68" t="str">
        <f t="shared" si="4"/>
        <v>PR</v>
      </c>
      <c r="T6" s="69">
        <f t="shared" si="5"/>
        <v>-0.1366459627</v>
      </c>
      <c r="V6" s="68" t="str">
        <f t="shared" si="6"/>
        <v>PR</v>
      </c>
      <c r="W6" s="69">
        <f t="shared" si="7"/>
        <v>-0.14</v>
      </c>
    </row>
    <row r="7" ht="14.25" customHeight="1">
      <c r="A7" s="75">
        <v>46268.0</v>
      </c>
      <c r="B7" s="76">
        <v>639.0</v>
      </c>
      <c r="C7" s="76">
        <v>394.0</v>
      </c>
      <c r="D7" s="77">
        <v>0.43</v>
      </c>
      <c r="F7" s="15" t="s">
        <v>52</v>
      </c>
      <c r="G7" s="22">
        <v>639.0</v>
      </c>
      <c r="H7" s="22">
        <v>394.0</v>
      </c>
      <c r="I7" s="74">
        <f t="shared" si="1"/>
        <v>0.6165884194</v>
      </c>
      <c r="L7" s="15" t="s">
        <v>53</v>
      </c>
      <c r="M7" s="22">
        <v>61.0</v>
      </c>
      <c r="N7" s="67">
        <f t="shared" si="2"/>
        <v>0.0149399951</v>
      </c>
      <c r="O7" s="67"/>
      <c r="P7" s="15" t="s">
        <v>53</v>
      </c>
      <c r="Q7" s="22">
        <v>60.0</v>
      </c>
      <c r="R7" s="67">
        <f t="shared" si="3"/>
        <v>0.02612102743</v>
      </c>
      <c r="S7" s="68" t="str">
        <f t="shared" si="4"/>
        <v>SC</v>
      </c>
      <c r="T7" s="69">
        <f t="shared" si="5"/>
        <v>-0.1967213115</v>
      </c>
      <c r="V7" s="68" t="str">
        <f t="shared" si="6"/>
        <v>SC</v>
      </c>
      <c r="W7" s="69">
        <f t="shared" si="7"/>
        <v>-0.1666666667</v>
      </c>
    </row>
    <row r="8" ht="14.25" customHeight="1">
      <c r="A8" s="75">
        <v>46269.0</v>
      </c>
      <c r="B8" s="76">
        <v>498.0</v>
      </c>
      <c r="C8" s="76">
        <v>289.0</v>
      </c>
      <c r="D8" s="77">
        <v>0.41</v>
      </c>
      <c r="F8" s="15" t="s">
        <v>54</v>
      </c>
      <c r="G8" s="22">
        <v>498.0</v>
      </c>
      <c r="H8" s="22">
        <v>289.0</v>
      </c>
      <c r="I8" s="74">
        <f t="shared" si="1"/>
        <v>0.5803212851</v>
      </c>
      <c r="L8" s="15" t="s">
        <v>55</v>
      </c>
      <c r="M8" s="22">
        <v>56.0</v>
      </c>
      <c r="N8" s="67">
        <f t="shared" si="2"/>
        <v>0.01371540534</v>
      </c>
      <c r="O8" s="67"/>
      <c r="P8" s="15" t="s">
        <v>55</v>
      </c>
      <c r="Q8" s="22">
        <v>49.0</v>
      </c>
      <c r="R8" s="67">
        <f t="shared" si="3"/>
        <v>0.0213321724</v>
      </c>
      <c r="S8" s="68" t="str">
        <f t="shared" si="4"/>
        <v>RS</v>
      </c>
      <c r="T8" s="69">
        <f t="shared" si="5"/>
        <v>-0.3035714286</v>
      </c>
      <c r="V8" s="68" t="str">
        <f t="shared" si="6"/>
        <v>RS</v>
      </c>
      <c r="W8" s="69">
        <f>IFERROR((Q23-Q8)/Q8,"")</f>
        <v>1.448979592</v>
      </c>
    </row>
    <row r="9" ht="14.25" customHeight="1">
      <c r="A9" s="75">
        <v>46270.0</v>
      </c>
      <c r="B9" s="76">
        <v>402.0</v>
      </c>
      <c r="C9" s="76">
        <v>224.0</v>
      </c>
      <c r="D9" s="77">
        <v>0.45</v>
      </c>
      <c r="F9" s="15" t="s">
        <v>57</v>
      </c>
      <c r="G9" s="22">
        <v>402.0</v>
      </c>
      <c r="H9" s="22">
        <v>224.0</v>
      </c>
      <c r="I9" s="74">
        <f t="shared" si="1"/>
        <v>0.5572139303</v>
      </c>
      <c r="L9" s="15" t="s">
        <v>58</v>
      </c>
      <c r="M9" s="22">
        <v>113.0</v>
      </c>
      <c r="N9" s="67">
        <f t="shared" si="2"/>
        <v>0.02767572863</v>
      </c>
      <c r="O9" s="67"/>
      <c r="P9" s="15" t="s">
        <v>58</v>
      </c>
      <c r="Q9" s="22">
        <v>116.0</v>
      </c>
      <c r="R9" s="67">
        <f t="shared" si="3"/>
        <v>0.05050065303</v>
      </c>
      <c r="S9" s="68" t="str">
        <f t="shared" si="4"/>
        <v>GO</v>
      </c>
      <c r="T9" s="69">
        <f t="shared" si="5"/>
        <v>0.1238938053</v>
      </c>
      <c r="V9" s="68" t="str">
        <f t="shared" si="6"/>
        <v>GO</v>
      </c>
      <c r="W9" s="69">
        <f t="shared" ref="W9:W13" si="9">IFERROR((Q23-Q9)/Q9,"")</f>
        <v>0.03448275862</v>
      </c>
    </row>
    <row r="10" ht="14.25" customHeight="1">
      <c r="A10" s="82">
        <v>46271.0</v>
      </c>
      <c r="B10" s="83">
        <v>468.0</v>
      </c>
      <c r="C10" s="83">
        <v>210.0</v>
      </c>
      <c r="D10" s="84">
        <v>0.37</v>
      </c>
      <c r="F10" s="24" t="s">
        <v>59</v>
      </c>
      <c r="G10" s="25">
        <f t="shared" ref="G10:H10" si="8">SUMPRODUCT(G3:G9)</f>
        <v>4083</v>
      </c>
      <c r="H10" s="25">
        <f t="shared" si="8"/>
        <v>2297</v>
      </c>
      <c r="I10" s="85">
        <f t="shared" si="1"/>
        <v>0.5625765369</v>
      </c>
      <c r="L10" s="15" t="s">
        <v>60</v>
      </c>
      <c r="M10" s="22">
        <v>86.0</v>
      </c>
      <c r="N10" s="67">
        <f t="shared" si="2"/>
        <v>0.02106294391</v>
      </c>
      <c r="O10" s="67"/>
      <c r="P10" s="15" t="s">
        <v>60</v>
      </c>
      <c r="Q10" s="22">
        <v>91.0</v>
      </c>
      <c r="R10" s="67">
        <f t="shared" si="3"/>
        <v>0.0396168916</v>
      </c>
      <c r="S10" s="68" t="str">
        <f t="shared" si="4"/>
        <v>BA</v>
      </c>
      <c r="T10" s="69">
        <f t="shared" si="5"/>
        <v>0.03488372093</v>
      </c>
      <c r="V10" s="68" t="str">
        <f t="shared" si="6"/>
        <v>BA</v>
      </c>
      <c r="W10" s="69">
        <f t="shared" si="9"/>
        <v>0.02197802198</v>
      </c>
    </row>
    <row r="11" ht="14.25" customHeight="1">
      <c r="A11" s="82">
        <v>46272.0</v>
      </c>
      <c r="B11" s="83">
        <v>529.0</v>
      </c>
      <c r="C11" s="83">
        <v>278.0</v>
      </c>
      <c r="D11" s="84">
        <v>0.43</v>
      </c>
      <c r="L11" s="15" t="s">
        <v>61</v>
      </c>
      <c r="M11" s="22">
        <v>378.0</v>
      </c>
      <c r="N11" s="67">
        <f t="shared" si="2"/>
        <v>0.09257898604</v>
      </c>
      <c r="O11" s="67"/>
      <c r="P11" s="15" t="s">
        <v>61</v>
      </c>
      <c r="Q11" s="22">
        <v>338.0</v>
      </c>
      <c r="R11" s="67">
        <f t="shared" si="3"/>
        <v>0.1471484545</v>
      </c>
      <c r="S11" s="68" t="str">
        <f t="shared" si="4"/>
        <v>Outros</v>
      </c>
      <c r="T11" s="69">
        <f t="shared" si="5"/>
        <v>0.03968253968</v>
      </c>
      <c r="V11" s="68" t="str">
        <f t="shared" si="6"/>
        <v>Outros</v>
      </c>
      <c r="W11" s="69">
        <f t="shared" si="9"/>
        <v>0.002958579882</v>
      </c>
    </row>
    <row r="12" ht="13.5" customHeight="1">
      <c r="A12" s="82">
        <v>46273.0</v>
      </c>
      <c r="B12" s="83">
        <v>628.0</v>
      </c>
      <c r="C12" s="86">
        <v>398.0</v>
      </c>
      <c r="D12" s="87">
        <v>0.41</v>
      </c>
      <c r="L12" s="15" t="s">
        <v>62</v>
      </c>
      <c r="M12" s="22">
        <v>1581.0</v>
      </c>
      <c r="N12" s="67">
        <f t="shared" si="2"/>
        <v>0.3872152829</v>
      </c>
      <c r="O12" s="67"/>
      <c r="P12" s="15" t="s">
        <v>62</v>
      </c>
      <c r="Q12" s="22"/>
      <c r="R12" s="67">
        <f t="shared" si="3"/>
        <v>0</v>
      </c>
      <c r="S12" s="68" t="str">
        <f t="shared" si="4"/>
        <v>Vazias</v>
      </c>
      <c r="T12" s="69">
        <f t="shared" si="5"/>
        <v>-0.0651486401</v>
      </c>
      <c r="V12" s="68" t="str">
        <f t="shared" si="6"/>
        <v>Vazias</v>
      </c>
      <c r="W12" s="69" t="str">
        <f t="shared" si="9"/>
        <v/>
      </c>
    </row>
    <row r="13" ht="14.25" customHeight="1">
      <c r="A13" s="82">
        <v>46274.0</v>
      </c>
      <c r="B13" s="83">
        <v>681.0</v>
      </c>
      <c r="C13" s="86">
        <v>453.0</v>
      </c>
      <c r="D13" s="87">
        <v>0.4434654919236417</v>
      </c>
      <c r="L13" s="65" t="s">
        <v>63</v>
      </c>
      <c r="M13" s="25">
        <f>SUMPRODUCT(M3:M12)</f>
        <v>4083</v>
      </c>
      <c r="N13" s="67">
        <f t="shared" si="2"/>
        <v>1</v>
      </c>
      <c r="O13" s="67"/>
      <c r="P13" s="65" t="s">
        <v>32</v>
      </c>
      <c r="Q13" s="25">
        <f>SUMPRODUCT(Q3:Q12)</f>
        <v>2297</v>
      </c>
      <c r="R13" s="67">
        <f t="shared" si="3"/>
        <v>1</v>
      </c>
      <c r="S13" s="88" t="str">
        <f t="shared" si="4"/>
        <v>total </v>
      </c>
      <c r="T13" s="89">
        <f t="shared" si="5"/>
        <v>-0.0345334313</v>
      </c>
      <c r="V13" s="88" t="str">
        <f t="shared" si="6"/>
        <v>Total</v>
      </c>
      <c r="W13" s="89">
        <f t="shared" si="9"/>
        <v>-0.02394427514</v>
      </c>
    </row>
    <row r="14" ht="14.25" customHeight="1">
      <c r="A14" s="82">
        <v>46275.0</v>
      </c>
      <c r="B14" s="83">
        <v>654.0</v>
      </c>
      <c r="C14" s="86">
        <v>412.0</v>
      </c>
      <c r="D14" s="87">
        <v>0.43577981651376146</v>
      </c>
      <c r="F14" s="11" t="s">
        <v>15</v>
      </c>
      <c r="G14" s="11" t="s">
        <v>9</v>
      </c>
      <c r="H14" s="11" t="s">
        <v>10</v>
      </c>
      <c r="I14" s="11" t="s">
        <v>45</v>
      </c>
      <c r="O14" s="90" t="s">
        <v>64</v>
      </c>
      <c r="S14" s="8" t="s">
        <v>4</v>
      </c>
    </row>
    <row r="15" ht="14.25" customHeight="1">
      <c r="A15" s="82">
        <v>46276.0</v>
      </c>
      <c r="B15" s="83">
        <v>533.0</v>
      </c>
      <c r="C15" s="83">
        <v>277.0</v>
      </c>
      <c r="D15" s="87">
        <v>0.37</v>
      </c>
      <c r="F15" s="15" t="s">
        <v>46</v>
      </c>
      <c r="G15" s="22">
        <v>468.0</v>
      </c>
      <c r="H15" s="22">
        <v>210.0</v>
      </c>
      <c r="I15" s="66">
        <f t="shared" ref="I15:I21" si="10">H15/G15</f>
        <v>0.4487179487</v>
      </c>
      <c r="O15" s="90">
        <f>M17/M3</f>
        <v>1.01056052</v>
      </c>
    </row>
    <row r="16" ht="14.25" customHeight="1">
      <c r="A16" s="82">
        <v>46277.0</v>
      </c>
      <c r="B16" s="83">
        <v>448.0</v>
      </c>
      <c r="C16" s="83">
        <v>214.0</v>
      </c>
      <c r="D16" s="87">
        <v>0.39</v>
      </c>
      <c r="F16" s="13" t="s">
        <v>48</v>
      </c>
      <c r="G16" s="22">
        <v>529.0</v>
      </c>
      <c r="H16" s="22">
        <v>278.0</v>
      </c>
      <c r="I16" s="66">
        <f t="shared" si="10"/>
        <v>0.5255198488</v>
      </c>
      <c r="L16" s="11" t="s">
        <v>8</v>
      </c>
      <c r="M16" s="11" t="s">
        <v>9</v>
      </c>
      <c r="P16" s="11" t="s">
        <v>8</v>
      </c>
      <c r="Q16" s="11" t="s">
        <v>10</v>
      </c>
    </row>
    <row r="17" ht="14.25" customHeight="1">
      <c r="A17" s="75">
        <v>46278.0</v>
      </c>
      <c r="B17" s="76">
        <v>480.0</v>
      </c>
      <c r="C17" s="76">
        <v>224.0</v>
      </c>
      <c r="D17" s="77">
        <v>0.39</v>
      </c>
      <c r="F17" s="15" t="s">
        <v>49</v>
      </c>
      <c r="G17" s="22">
        <v>628.0</v>
      </c>
      <c r="H17" s="22">
        <v>398.0</v>
      </c>
      <c r="I17" s="66">
        <f t="shared" si="10"/>
        <v>0.6337579618</v>
      </c>
      <c r="L17" s="13" t="s">
        <v>21</v>
      </c>
      <c r="M17" s="14">
        <v>1244.0</v>
      </c>
      <c r="N17" s="67">
        <f t="shared" ref="N17:N27" si="11">M17/$M$27</f>
        <v>0.3155758498</v>
      </c>
      <c r="P17" s="13" t="s">
        <v>21</v>
      </c>
      <c r="Q17" s="14">
        <v>1094.0</v>
      </c>
      <c r="R17" s="56"/>
      <c r="S17" s="27" t="s">
        <v>30</v>
      </c>
      <c r="T17" s="28"/>
      <c r="U17" s="6"/>
      <c r="V17" s="29" t="s">
        <v>30</v>
      </c>
      <c r="W17" s="29"/>
    </row>
    <row r="18" ht="14.25" customHeight="1">
      <c r="A18" s="75">
        <v>46279.0</v>
      </c>
      <c r="B18" s="76">
        <v>672.0</v>
      </c>
      <c r="C18" s="76">
        <v>441.0</v>
      </c>
      <c r="D18" s="77">
        <v>0.45</v>
      </c>
      <c r="F18" s="15" t="s">
        <v>50</v>
      </c>
      <c r="G18" s="22">
        <v>681.0</v>
      </c>
      <c r="H18" s="22">
        <v>453.0</v>
      </c>
      <c r="I18" s="66">
        <f t="shared" si="10"/>
        <v>0.6651982379</v>
      </c>
      <c r="L18" s="15" t="s">
        <v>24</v>
      </c>
      <c r="M18" s="22">
        <v>193.0</v>
      </c>
      <c r="N18" s="67">
        <f t="shared" si="11"/>
        <v>0.04895991882</v>
      </c>
      <c r="P18" s="15" t="s">
        <v>24</v>
      </c>
      <c r="Q18" s="22">
        <v>184.0</v>
      </c>
      <c r="S18" s="11" t="s">
        <v>8</v>
      </c>
      <c r="T18" s="11" t="s">
        <v>9</v>
      </c>
      <c r="V18" s="11" t="s">
        <v>8</v>
      </c>
      <c r="W18" s="11" t="s">
        <v>10</v>
      </c>
    </row>
    <row r="19" ht="14.25" customHeight="1">
      <c r="A19" s="75">
        <v>46280.0</v>
      </c>
      <c r="B19" s="76"/>
      <c r="C19" s="76"/>
      <c r="D19" s="91"/>
      <c r="F19" s="15" t="s">
        <v>52</v>
      </c>
      <c r="G19" s="22">
        <v>654.0</v>
      </c>
      <c r="H19" s="22">
        <v>412.0</v>
      </c>
      <c r="I19" s="66">
        <f t="shared" si="10"/>
        <v>0.629969419</v>
      </c>
      <c r="L19" s="15" t="s">
        <v>26</v>
      </c>
      <c r="M19" s="22">
        <v>191.0</v>
      </c>
      <c r="N19" s="67">
        <f t="shared" si="11"/>
        <v>0.04845256215</v>
      </c>
      <c r="P19" s="15" t="s">
        <v>26</v>
      </c>
      <c r="Q19" s="22">
        <v>199.0</v>
      </c>
      <c r="R19" s="67"/>
      <c r="S19" s="68" t="s">
        <v>21</v>
      </c>
      <c r="T19" s="69">
        <f t="shared" ref="T19:T29" si="12">IFERROR((M31-M17)/M17,"")</f>
        <v>-1</v>
      </c>
      <c r="V19" s="68" t="s">
        <v>21</v>
      </c>
      <c r="W19" s="69">
        <f t="shared" ref="W19:W29" si="13">IFERROR((Q31-Q17)/Q17,"")</f>
        <v>-1</v>
      </c>
    </row>
    <row r="20" ht="14.25" customHeight="1">
      <c r="A20" s="75">
        <v>46281.0</v>
      </c>
      <c r="B20" s="76"/>
      <c r="C20" s="76"/>
      <c r="D20" s="91"/>
      <c r="F20" s="15" t="s">
        <v>54</v>
      </c>
      <c r="G20" s="22">
        <v>533.0</v>
      </c>
      <c r="H20" s="22">
        <v>277.0</v>
      </c>
      <c r="I20" s="66">
        <f t="shared" si="10"/>
        <v>0.5196998124</v>
      </c>
      <c r="L20" s="15" t="s">
        <v>51</v>
      </c>
      <c r="M20" s="22">
        <v>139.0</v>
      </c>
      <c r="N20" s="67">
        <f t="shared" si="11"/>
        <v>0.03526128869</v>
      </c>
      <c r="P20" s="15" t="s">
        <v>51</v>
      </c>
      <c r="Q20" s="22">
        <v>129.0</v>
      </c>
      <c r="R20" s="67"/>
      <c r="S20" s="68" t="s">
        <v>24</v>
      </c>
      <c r="T20" s="69">
        <f t="shared" si="12"/>
        <v>-1</v>
      </c>
      <c r="V20" s="68" t="s">
        <v>24</v>
      </c>
      <c r="W20" s="69">
        <f t="shared" si="13"/>
        <v>-1</v>
      </c>
    </row>
    <row r="21" ht="14.25" customHeight="1">
      <c r="A21" s="75">
        <v>46282.0</v>
      </c>
      <c r="B21" s="76"/>
      <c r="C21" s="76"/>
      <c r="D21" s="77"/>
      <c r="F21" s="15" t="s">
        <v>57</v>
      </c>
      <c r="G21" s="22">
        <v>448.0</v>
      </c>
      <c r="H21" s="22">
        <v>214.0</v>
      </c>
      <c r="I21" s="66">
        <f t="shared" si="10"/>
        <v>0.4776785714</v>
      </c>
      <c r="L21" s="15" t="s">
        <v>53</v>
      </c>
      <c r="M21" s="22">
        <v>49.0</v>
      </c>
      <c r="N21" s="67">
        <f t="shared" si="11"/>
        <v>0.01243023846</v>
      </c>
      <c r="P21" s="15" t="s">
        <v>53</v>
      </c>
      <c r="Q21" s="22">
        <v>50.0</v>
      </c>
      <c r="R21" s="67"/>
      <c r="S21" s="68" t="s">
        <v>26</v>
      </c>
      <c r="T21" s="69">
        <f t="shared" si="12"/>
        <v>-1</v>
      </c>
      <c r="V21" s="68" t="s">
        <v>26</v>
      </c>
      <c r="W21" s="69">
        <f t="shared" si="13"/>
        <v>-1</v>
      </c>
    </row>
    <row r="22" ht="14.25" customHeight="1">
      <c r="A22" s="75">
        <v>46283.0</v>
      </c>
      <c r="B22" s="76"/>
      <c r="C22" s="76"/>
      <c r="D22" s="77"/>
      <c r="F22" s="24" t="s">
        <v>59</v>
      </c>
      <c r="G22" s="25">
        <f t="shared" ref="G22:H22" si="14">SUMPRODUCT(G15:G21)</f>
        <v>3941</v>
      </c>
      <c r="H22" s="25">
        <f t="shared" si="14"/>
        <v>2242</v>
      </c>
      <c r="I22" s="85">
        <f>AVERAGE(I15:I21)</f>
        <v>0.5572202571</v>
      </c>
      <c r="L22" s="15" t="s">
        <v>55</v>
      </c>
      <c r="M22" s="22">
        <v>39.0</v>
      </c>
      <c r="N22" s="67">
        <f t="shared" si="11"/>
        <v>0.009893455099</v>
      </c>
      <c r="P22" s="15" t="s">
        <v>55</v>
      </c>
      <c r="Q22" s="92">
        <v>34.0</v>
      </c>
      <c r="R22" s="67"/>
      <c r="S22" s="68" t="s">
        <v>51</v>
      </c>
      <c r="T22" s="69">
        <f t="shared" si="12"/>
        <v>-1</v>
      </c>
      <c r="V22" s="68" t="s">
        <v>51</v>
      </c>
      <c r="W22" s="69">
        <f t="shared" si="13"/>
        <v>-1</v>
      </c>
    </row>
    <row r="23" ht="14.25" customHeight="1">
      <c r="A23" s="75">
        <v>46284.0</v>
      </c>
      <c r="B23" s="76"/>
      <c r="C23" s="76"/>
      <c r="D23" s="77"/>
      <c r="L23" s="15" t="s">
        <v>58</v>
      </c>
      <c r="M23" s="22">
        <v>127.0</v>
      </c>
      <c r="N23" s="67">
        <f t="shared" si="11"/>
        <v>0.03221714866</v>
      </c>
      <c r="P23" s="15" t="s">
        <v>58</v>
      </c>
      <c r="Q23" s="22">
        <v>120.0</v>
      </c>
      <c r="R23" s="67"/>
      <c r="S23" s="68" t="s">
        <v>53</v>
      </c>
      <c r="T23" s="69">
        <f t="shared" si="12"/>
        <v>-1</v>
      </c>
      <c r="V23" s="68" t="s">
        <v>53</v>
      </c>
      <c r="W23" s="69">
        <f t="shared" si="13"/>
        <v>-1</v>
      </c>
    </row>
    <row r="24" ht="14.25" customHeight="1">
      <c r="A24" s="82">
        <v>46285.0</v>
      </c>
      <c r="B24" s="93">
        <v>446.0</v>
      </c>
      <c r="C24" s="93">
        <v>222.0</v>
      </c>
      <c r="D24" s="83"/>
      <c r="L24" s="15" t="s">
        <v>60</v>
      </c>
      <c r="M24" s="22">
        <v>89.0</v>
      </c>
      <c r="N24" s="67">
        <f t="shared" si="11"/>
        <v>0.02257737189</v>
      </c>
      <c r="P24" s="15" t="s">
        <v>60</v>
      </c>
      <c r="Q24" s="22">
        <v>93.0</v>
      </c>
      <c r="R24" s="67"/>
      <c r="S24" s="68" t="s">
        <v>55</v>
      </c>
      <c r="T24" s="69">
        <f t="shared" si="12"/>
        <v>-1</v>
      </c>
      <c r="V24" s="68" t="s">
        <v>55</v>
      </c>
      <c r="W24" s="69">
        <f t="shared" si="13"/>
        <v>-1</v>
      </c>
    </row>
    <row r="25" ht="14.25" customHeight="1">
      <c r="A25" s="82">
        <v>46286.0</v>
      </c>
      <c r="B25" s="93">
        <v>636.0</v>
      </c>
      <c r="C25" s="93">
        <v>390.0</v>
      </c>
      <c r="D25" s="83"/>
      <c r="F25" s="11" t="s">
        <v>15</v>
      </c>
      <c r="G25" s="11" t="s">
        <v>9</v>
      </c>
      <c r="H25" s="11" t="s">
        <v>10</v>
      </c>
      <c r="I25" s="11" t="s">
        <v>45</v>
      </c>
      <c r="L25" s="15" t="s">
        <v>61</v>
      </c>
      <c r="M25" s="22">
        <v>393.0</v>
      </c>
      <c r="N25" s="67">
        <f t="shared" si="11"/>
        <v>0.099695586</v>
      </c>
      <c r="P25" s="15" t="s">
        <v>61</v>
      </c>
      <c r="Q25" s="22">
        <v>339.0</v>
      </c>
      <c r="R25" s="67"/>
      <c r="S25" s="68" t="s">
        <v>58</v>
      </c>
      <c r="T25" s="69">
        <f t="shared" si="12"/>
        <v>-1</v>
      </c>
      <c r="V25" s="68" t="s">
        <v>58</v>
      </c>
      <c r="W25" s="69">
        <f t="shared" si="13"/>
        <v>-1</v>
      </c>
    </row>
    <row r="26" ht="14.25" customHeight="1">
      <c r="A26" s="82">
        <v>46287.0</v>
      </c>
      <c r="B26" s="93">
        <v>655.0</v>
      </c>
      <c r="C26" s="93">
        <v>444.0</v>
      </c>
      <c r="D26" s="87"/>
      <c r="F26" s="15" t="s">
        <v>46</v>
      </c>
      <c r="G26" s="22">
        <v>480.0</v>
      </c>
      <c r="H26" s="22">
        <v>224.0</v>
      </c>
      <c r="I26" s="66">
        <f t="shared" ref="I26:I32" si="15">H26/G26</f>
        <v>0.4666666667</v>
      </c>
      <c r="L26" s="15" t="s">
        <v>62</v>
      </c>
      <c r="M26" s="22">
        <v>1478.0</v>
      </c>
      <c r="N26" s="67">
        <f t="shared" si="11"/>
        <v>0.3749365804</v>
      </c>
      <c r="P26" s="15" t="s">
        <v>62</v>
      </c>
      <c r="Q26" s="22">
        <v>0.0</v>
      </c>
      <c r="R26" s="67"/>
      <c r="S26" s="68" t="s">
        <v>60</v>
      </c>
      <c r="T26" s="69">
        <f t="shared" si="12"/>
        <v>-1</v>
      </c>
      <c r="V26" s="68" t="s">
        <v>60</v>
      </c>
      <c r="W26" s="69">
        <f t="shared" si="13"/>
        <v>-1</v>
      </c>
    </row>
    <row r="27" ht="14.25" customHeight="1">
      <c r="A27" s="82">
        <v>46288.0</v>
      </c>
      <c r="B27" s="93">
        <v>712.0</v>
      </c>
      <c r="C27" s="94">
        <v>454.0</v>
      </c>
      <c r="D27" s="87"/>
      <c r="F27" s="13" t="s">
        <v>48</v>
      </c>
      <c r="G27" s="22">
        <v>672.0</v>
      </c>
      <c r="H27" s="22">
        <v>441.0</v>
      </c>
      <c r="I27" s="66">
        <f t="shared" si="15"/>
        <v>0.65625</v>
      </c>
      <c r="L27" s="65" t="s">
        <v>63</v>
      </c>
      <c r="M27" s="25">
        <f>SUMPRODUCT(M17:M26)</f>
        <v>3942</v>
      </c>
      <c r="N27" s="67">
        <f t="shared" si="11"/>
        <v>1</v>
      </c>
      <c r="P27" s="65" t="s">
        <v>32</v>
      </c>
      <c r="Q27" s="25">
        <f>SUMPRODUCT(Q17:Q26)</f>
        <v>2242</v>
      </c>
      <c r="R27" s="67"/>
      <c r="S27" s="68" t="s">
        <v>61</v>
      </c>
      <c r="T27" s="69">
        <f t="shared" si="12"/>
        <v>-1</v>
      </c>
      <c r="V27" s="68" t="s">
        <v>61</v>
      </c>
      <c r="W27" s="69">
        <f t="shared" si="13"/>
        <v>-1</v>
      </c>
    </row>
    <row r="28" ht="14.25" customHeight="1">
      <c r="A28" s="82">
        <v>46289.0</v>
      </c>
      <c r="B28" s="93">
        <v>732.0</v>
      </c>
      <c r="C28" s="94">
        <v>440.0</v>
      </c>
      <c r="D28" s="87"/>
      <c r="F28" s="15" t="s">
        <v>49</v>
      </c>
      <c r="G28" s="22"/>
      <c r="H28" s="22"/>
      <c r="I28" s="66" t="str">
        <f t="shared" si="15"/>
        <v>#DIV/0!</v>
      </c>
      <c r="R28" s="67"/>
      <c r="S28" s="68" t="s">
        <v>62</v>
      </c>
      <c r="T28" s="69">
        <f t="shared" si="12"/>
        <v>-1</v>
      </c>
      <c r="V28" s="68" t="s">
        <v>62</v>
      </c>
      <c r="W28" s="69" t="str">
        <f t="shared" si="13"/>
        <v/>
      </c>
    </row>
    <row r="29" ht="14.25" customHeight="1">
      <c r="A29" s="82">
        <v>46290.0</v>
      </c>
      <c r="B29" s="93">
        <v>652.0</v>
      </c>
      <c r="C29" s="93">
        <v>367.0</v>
      </c>
      <c r="D29" s="84"/>
      <c r="F29" s="15" t="s">
        <v>50</v>
      </c>
      <c r="G29" s="22"/>
      <c r="H29" s="22"/>
      <c r="I29" s="66" t="str">
        <f t="shared" si="15"/>
        <v>#DIV/0!</v>
      </c>
      <c r="R29" s="67"/>
      <c r="S29" s="88" t="s">
        <v>63</v>
      </c>
      <c r="T29" s="69">
        <f t="shared" si="12"/>
        <v>-1</v>
      </c>
      <c r="V29" s="88" t="s">
        <v>32</v>
      </c>
      <c r="W29" s="69">
        <f t="shared" si="13"/>
        <v>-1</v>
      </c>
    </row>
    <row r="30" ht="14.25" customHeight="1">
      <c r="A30" s="82">
        <v>46291.0</v>
      </c>
      <c r="B30" s="93">
        <v>500.0</v>
      </c>
      <c r="C30" s="93">
        <v>229.0</v>
      </c>
      <c r="D30" s="84"/>
      <c r="F30" s="15" t="s">
        <v>52</v>
      </c>
      <c r="G30" s="22"/>
      <c r="H30" s="22"/>
      <c r="I30" s="66" t="str">
        <f t="shared" si="15"/>
        <v>#DIV/0!</v>
      </c>
      <c r="L30" s="11" t="s">
        <v>8</v>
      </c>
      <c r="M30" s="11" t="s">
        <v>9</v>
      </c>
      <c r="O30" s="90">
        <f>M31/M17</f>
        <v>0</v>
      </c>
      <c r="P30" s="11" t="s">
        <v>8</v>
      </c>
      <c r="Q30" s="11" t="s">
        <v>10</v>
      </c>
      <c r="S30" s="8" t="s">
        <v>47</v>
      </c>
    </row>
    <row r="31" ht="14.25" customHeight="1">
      <c r="A31" s="75">
        <v>46292.0</v>
      </c>
      <c r="B31" s="100">
        <v>486.0</v>
      </c>
      <c r="C31" s="100">
        <v>255.0</v>
      </c>
      <c r="D31" s="76"/>
      <c r="F31" s="15" t="s">
        <v>54</v>
      </c>
      <c r="G31" s="22"/>
      <c r="H31" s="22"/>
      <c r="I31" s="66" t="str">
        <f t="shared" si="15"/>
        <v>#DIV/0!</v>
      </c>
      <c r="L31" s="13" t="s">
        <v>21</v>
      </c>
      <c r="M31" s="14"/>
      <c r="N31" s="67" t="str">
        <f t="shared" ref="N31:N41" si="16">M31/$M$41</f>
        <v>#DIV/0!</v>
      </c>
      <c r="P31" s="13" t="s">
        <v>21</v>
      </c>
      <c r="Q31" s="14"/>
    </row>
    <row r="32" ht="14.25" customHeight="1">
      <c r="A32" s="75">
        <v>46293.0</v>
      </c>
      <c r="B32" s="100">
        <v>693.0</v>
      </c>
      <c r="C32" s="100">
        <v>376.0</v>
      </c>
      <c r="D32" s="76"/>
      <c r="F32" s="15" t="s">
        <v>57</v>
      </c>
      <c r="G32" s="22"/>
      <c r="H32" s="22"/>
      <c r="I32" s="66" t="str">
        <f t="shared" si="15"/>
        <v>#DIV/0!</v>
      </c>
      <c r="L32" s="15" t="s">
        <v>24</v>
      </c>
      <c r="M32" s="14"/>
      <c r="N32" s="67" t="str">
        <f t="shared" si="16"/>
        <v>#DIV/0!</v>
      </c>
      <c r="P32" s="15" t="s">
        <v>24</v>
      </c>
      <c r="Q32" s="22"/>
    </row>
    <row r="33" ht="14.25" customHeight="1">
      <c r="A33" s="75">
        <v>46294.0</v>
      </c>
      <c r="B33" s="100">
        <v>661.0</v>
      </c>
      <c r="C33" s="100">
        <v>402.0</v>
      </c>
      <c r="D33" s="77"/>
      <c r="F33" s="24" t="s">
        <v>59</v>
      </c>
      <c r="G33" s="25">
        <f t="shared" ref="G33:H33" si="17">SUMPRODUCT(G26:G32)</f>
        <v>1152</v>
      </c>
      <c r="H33" s="25">
        <f t="shared" si="17"/>
        <v>665</v>
      </c>
      <c r="I33" s="85" t="str">
        <f>AVERAGE(I26:I32)</f>
        <v>#DIV/0!</v>
      </c>
      <c r="L33" s="15" t="s">
        <v>26</v>
      </c>
      <c r="M33" s="14"/>
      <c r="N33" s="67" t="str">
        <f t="shared" si="16"/>
        <v>#DIV/0!</v>
      </c>
      <c r="P33" s="15" t="s">
        <v>26</v>
      </c>
      <c r="Q33" s="22"/>
    </row>
    <row r="34" ht="14.25" customHeight="1">
      <c r="A34" s="75">
        <v>46295.0</v>
      </c>
      <c r="B34" s="100">
        <v>909.0</v>
      </c>
      <c r="C34" s="100">
        <v>467.0</v>
      </c>
      <c r="D34" s="77"/>
      <c r="L34" s="15" t="s">
        <v>51</v>
      </c>
      <c r="M34" s="14"/>
      <c r="N34" s="67" t="str">
        <f t="shared" si="16"/>
        <v>#DIV/0!</v>
      </c>
      <c r="P34" s="15" t="s">
        <v>51</v>
      </c>
      <c r="Q34" s="22"/>
      <c r="S34" s="27" t="s">
        <v>30</v>
      </c>
      <c r="T34" s="28"/>
      <c r="U34" s="6"/>
      <c r="V34" s="29" t="s">
        <v>30</v>
      </c>
      <c r="W34" s="29"/>
    </row>
    <row r="35" ht="14.25" customHeight="1">
      <c r="A35" s="60">
        <v>46296.0</v>
      </c>
      <c r="B35" s="101"/>
      <c r="C35" s="101"/>
      <c r="D35" s="64"/>
      <c r="L35" s="15" t="s">
        <v>53</v>
      </c>
      <c r="M35" s="14"/>
      <c r="N35" s="67" t="str">
        <f t="shared" si="16"/>
        <v>#DIV/0!</v>
      </c>
      <c r="P35" s="15" t="s">
        <v>53</v>
      </c>
      <c r="Q35" s="22"/>
      <c r="S35" s="11" t="s">
        <v>8</v>
      </c>
      <c r="T35" s="11" t="s">
        <v>9</v>
      </c>
      <c r="V35" s="11" t="s">
        <v>8</v>
      </c>
      <c r="W35" s="11" t="s">
        <v>10</v>
      </c>
    </row>
    <row r="36" ht="14.25" customHeight="1">
      <c r="A36" s="60">
        <v>46297.0</v>
      </c>
      <c r="B36" s="101">
        <v>762.0</v>
      </c>
      <c r="C36" s="101">
        <v>452.0</v>
      </c>
      <c r="D36" s="64"/>
      <c r="F36" s="11" t="s">
        <v>15</v>
      </c>
      <c r="G36" s="11" t="s">
        <v>9</v>
      </c>
      <c r="H36" s="11" t="s">
        <v>10</v>
      </c>
      <c r="I36" s="11" t="s">
        <v>45</v>
      </c>
      <c r="L36" s="15" t="s">
        <v>55</v>
      </c>
      <c r="M36" s="14"/>
      <c r="N36" s="67" t="str">
        <f t="shared" si="16"/>
        <v>#DIV/0!</v>
      </c>
      <c r="P36" s="15" t="s">
        <v>55</v>
      </c>
      <c r="Q36" s="92"/>
      <c r="S36" s="68" t="s">
        <v>21</v>
      </c>
      <c r="T36" s="69" t="str">
        <f t="shared" ref="T36:T46" si="18">IFERROR((M45-M31)/M31,"")</f>
        <v/>
      </c>
      <c r="V36" s="68" t="s">
        <v>21</v>
      </c>
      <c r="W36" s="69" t="str">
        <f t="shared" ref="W36:W46" si="19">IFERROR((Q45-Q31)/Q31,"")</f>
        <v/>
      </c>
    </row>
    <row r="37" ht="14.25" customHeight="1">
      <c r="A37" s="60">
        <v>46298.0</v>
      </c>
      <c r="B37" s="101">
        <v>645.0</v>
      </c>
      <c r="C37" s="101">
        <v>405.0</v>
      </c>
      <c r="D37" s="64"/>
      <c r="F37" s="15" t="s">
        <v>46</v>
      </c>
      <c r="G37" s="22"/>
      <c r="H37" s="22"/>
      <c r="I37" s="66" t="str">
        <f t="shared" ref="I37:I43" si="20">H37/G37</f>
        <v>#DIV/0!</v>
      </c>
      <c r="L37" s="15" t="s">
        <v>58</v>
      </c>
      <c r="M37" s="14"/>
      <c r="N37" s="67" t="str">
        <f t="shared" si="16"/>
        <v>#DIV/0!</v>
      </c>
      <c r="P37" s="15" t="s">
        <v>58</v>
      </c>
      <c r="Q37" s="22"/>
      <c r="S37" s="68" t="s">
        <v>24</v>
      </c>
      <c r="T37" s="69" t="str">
        <f t="shared" si="18"/>
        <v/>
      </c>
      <c r="V37" s="68" t="s">
        <v>24</v>
      </c>
      <c r="W37" s="69" t="str">
        <f t="shared" si="19"/>
        <v/>
      </c>
    </row>
    <row r="38" ht="14.25" customHeight="1">
      <c r="A38" s="60">
        <v>46299.0</v>
      </c>
      <c r="B38" s="101">
        <v>474.0</v>
      </c>
      <c r="C38" s="101">
        <v>223.0</v>
      </c>
      <c r="D38" s="64"/>
      <c r="F38" s="13" t="s">
        <v>48</v>
      </c>
      <c r="G38" s="22"/>
      <c r="H38" s="22"/>
      <c r="I38" s="66" t="str">
        <f t="shared" si="20"/>
        <v>#DIV/0!</v>
      </c>
      <c r="L38" s="15" t="s">
        <v>60</v>
      </c>
      <c r="M38" s="14"/>
      <c r="N38" s="67" t="str">
        <f t="shared" si="16"/>
        <v>#DIV/0!</v>
      </c>
      <c r="P38" s="15" t="s">
        <v>60</v>
      </c>
      <c r="Q38" s="22"/>
      <c r="S38" s="68" t="s">
        <v>26</v>
      </c>
      <c r="T38" s="69" t="str">
        <f t="shared" si="18"/>
        <v/>
      </c>
      <c r="V38" s="68" t="s">
        <v>26</v>
      </c>
      <c r="W38" s="69" t="str">
        <f t="shared" si="19"/>
        <v/>
      </c>
    </row>
    <row r="39" ht="14.25" customHeight="1">
      <c r="A39" s="60">
        <v>46300.0</v>
      </c>
      <c r="B39" s="101">
        <v>433.0</v>
      </c>
      <c r="C39" s="101">
        <v>208.0</v>
      </c>
      <c r="D39" s="64"/>
      <c r="F39" s="15" t="s">
        <v>49</v>
      </c>
      <c r="G39" s="22"/>
      <c r="H39" s="22"/>
      <c r="I39" s="66" t="str">
        <f t="shared" si="20"/>
        <v>#DIV/0!</v>
      </c>
      <c r="L39" s="15" t="s">
        <v>61</v>
      </c>
      <c r="M39" s="14"/>
      <c r="N39" s="67" t="str">
        <f t="shared" si="16"/>
        <v>#DIV/0!</v>
      </c>
      <c r="P39" s="15" t="s">
        <v>61</v>
      </c>
      <c r="Q39" s="22"/>
      <c r="S39" s="68" t="s">
        <v>51</v>
      </c>
      <c r="T39" s="69" t="str">
        <f t="shared" si="18"/>
        <v/>
      </c>
      <c r="V39" s="68" t="s">
        <v>51</v>
      </c>
      <c r="W39" s="69" t="str">
        <f t="shared" si="19"/>
        <v/>
      </c>
    </row>
    <row r="40" ht="14.25" customHeight="1">
      <c r="A40" s="60">
        <v>46301.0</v>
      </c>
      <c r="B40" s="101">
        <v>715.0</v>
      </c>
      <c r="C40" s="101">
        <v>422.0</v>
      </c>
      <c r="D40" s="64"/>
      <c r="F40" s="15" t="s">
        <v>50</v>
      </c>
      <c r="G40" s="22"/>
      <c r="H40" s="22"/>
      <c r="I40" s="66" t="str">
        <f t="shared" si="20"/>
        <v>#DIV/0!</v>
      </c>
      <c r="L40" s="15" t="s">
        <v>62</v>
      </c>
      <c r="M40" s="14"/>
      <c r="N40" s="67" t="str">
        <f t="shared" si="16"/>
        <v>#DIV/0!</v>
      </c>
      <c r="P40" s="15" t="s">
        <v>62</v>
      </c>
      <c r="Q40" s="22"/>
      <c r="S40" s="68" t="s">
        <v>53</v>
      </c>
      <c r="T40" s="69" t="str">
        <f t="shared" si="18"/>
        <v/>
      </c>
      <c r="V40" s="68" t="s">
        <v>53</v>
      </c>
      <c r="W40" s="69" t="str">
        <f t="shared" si="19"/>
        <v/>
      </c>
    </row>
    <row r="41" ht="14.25" customHeight="1">
      <c r="A41" s="60">
        <v>46302.0</v>
      </c>
      <c r="B41" s="101">
        <v>688.0</v>
      </c>
      <c r="C41" s="101">
        <v>441.0</v>
      </c>
      <c r="D41" s="64"/>
      <c r="F41" s="15" t="s">
        <v>52</v>
      </c>
      <c r="G41" s="22"/>
      <c r="H41" s="22"/>
      <c r="I41" s="66" t="str">
        <f t="shared" si="20"/>
        <v>#DIV/0!</v>
      </c>
      <c r="L41" s="65" t="s">
        <v>63</v>
      </c>
      <c r="M41" s="25">
        <f>SUMPRODUCT(M31:M40)</f>
        <v>0</v>
      </c>
      <c r="N41" s="67" t="str">
        <f t="shared" si="16"/>
        <v>#DIV/0!</v>
      </c>
      <c r="P41" s="65" t="s">
        <v>32</v>
      </c>
      <c r="Q41" s="25">
        <f>SUMPRODUCT(Q31:Q40)</f>
        <v>0</v>
      </c>
      <c r="S41" s="68" t="s">
        <v>55</v>
      </c>
      <c r="T41" s="69" t="str">
        <f t="shared" si="18"/>
        <v/>
      </c>
      <c r="V41" s="68" t="s">
        <v>55</v>
      </c>
      <c r="W41" s="69" t="str">
        <f t="shared" si="19"/>
        <v/>
      </c>
    </row>
    <row r="42" ht="14.25" customHeight="1">
      <c r="A42" s="60">
        <v>46303.0</v>
      </c>
      <c r="B42" s="101">
        <v>633.0</v>
      </c>
      <c r="C42" s="101">
        <v>405.0</v>
      </c>
      <c r="D42" s="64"/>
      <c r="F42" s="15" t="s">
        <v>54</v>
      </c>
      <c r="G42" s="22"/>
      <c r="H42" s="22"/>
      <c r="I42" s="66" t="str">
        <f t="shared" si="20"/>
        <v>#DIV/0!</v>
      </c>
      <c r="S42" s="68" t="s">
        <v>58</v>
      </c>
      <c r="T42" s="69" t="str">
        <f t="shared" si="18"/>
        <v/>
      </c>
      <c r="V42" s="68" t="s">
        <v>58</v>
      </c>
      <c r="W42" s="69" t="str">
        <f t="shared" si="19"/>
        <v/>
      </c>
    </row>
    <row r="43" ht="14.25" customHeight="1">
      <c r="A43" s="60">
        <v>46304.0</v>
      </c>
      <c r="B43" s="101">
        <v>632.0</v>
      </c>
      <c r="C43" s="101">
        <v>406.0</v>
      </c>
      <c r="D43" s="64"/>
      <c r="F43" s="15" t="s">
        <v>57</v>
      </c>
      <c r="G43" s="22"/>
      <c r="H43" s="22"/>
      <c r="I43" s="66" t="str">
        <f t="shared" si="20"/>
        <v>#DIV/0!</v>
      </c>
      <c r="S43" s="68" t="s">
        <v>60</v>
      </c>
      <c r="T43" s="69" t="str">
        <f t="shared" si="18"/>
        <v/>
      </c>
      <c r="V43" s="68" t="s">
        <v>60</v>
      </c>
      <c r="W43" s="69" t="str">
        <f t="shared" si="19"/>
        <v/>
      </c>
    </row>
    <row r="44" ht="14.25" customHeight="1">
      <c r="A44" s="60">
        <v>46305.0</v>
      </c>
      <c r="B44" s="101">
        <v>490.0</v>
      </c>
      <c r="C44" s="101">
        <v>336.0</v>
      </c>
      <c r="D44" s="64"/>
      <c r="F44" s="24" t="s">
        <v>59</v>
      </c>
      <c r="G44" s="25">
        <f t="shared" ref="G44:H44" si="21">SUMPRODUCT(G37:G43)</f>
        <v>0</v>
      </c>
      <c r="H44" s="25">
        <f t="shared" si="21"/>
        <v>0</v>
      </c>
      <c r="I44" s="85" t="str">
        <f>AVERAGE(I37:I43)</f>
        <v>#DIV/0!</v>
      </c>
      <c r="L44" s="11" t="s">
        <v>8</v>
      </c>
      <c r="M44" s="11" t="s">
        <v>9</v>
      </c>
      <c r="O44" s="90" t="str">
        <f>M45/M31</f>
        <v>#DIV/0!</v>
      </c>
      <c r="P44" s="11" t="s">
        <v>8</v>
      </c>
      <c r="Q44" s="11" t="s">
        <v>10</v>
      </c>
      <c r="S44" s="68" t="s">
        <v>61</v>
      </c>
      <c r="T44" s="69" t="str">
        <f t="shared" si="18"/>
        <v/>
      </c>
      <c r="V44" s="68" t="s">
        <v>61</v>
      </c>
      <c r="W44" s="69" t="str">
        <f t="shared" si="19"/>
        <v/>
      </c>
    </row>
    <row r="45" ht="14.25" customHeight="1">
      <c r="A45" s="60">
        <v>46306.0</v>
      </c>
      <c r="B45" s="101">
        <v>387.0</v>
      </c>
      <c r="C45" s="101">
        <v>216.0</v>
      </c>
      <c r="D45" s="64"/>
      <c r="L45" s="13" t="s">
        <v>21</v>
      </c>
      <c r="M45" s="14"/>
      <c r="P45" s="13" t="s">
        <v>21</v>
      </c>
      <c r="Q45" s="14"/>
      <c r="S45" s="68" t="s">
        <v>62</v>
      </c>
      <c r="T45" s="69" t="str">
        <f t="shared" si="18"/>
        <v/>
      </c>
      <c r="V45" s="68" t="s">
        <v>62</v>
      </c>
      <c r="W45" s="69" t="str">
        <f t="shared" si="19"/>
        <v/>
      </c>
    </row>
    <row r="46" ht="14.25" customHeight="1">
      <c r="A46" s="60">
        <v>46307.0</v>
      </c>
      <c r="B46" s="101">
        <v>445.0</v>
      </c>
      <c r="C46" s="101">
        <v>230.0</v>
      </c>
      <c r="D46" s="64"/>
      <c r="L46" s="15" t="s">
        <v>24</v>
      </c>
      <c r="M46" s="14"/>
      <c r="P46" s="15" t="s">
        <v>24</v>
      </c>
      <c r="Q46" s="22"/>
      <c r="S46" s="88" t="s">
        <v>63</v>
      </c>
      <c r="T46" s="69" t="str">
        <f t="shared" si="18"/>
        <v/>
      </c>
      <c r="V46" s="88" t="s">
        <v>32</v>
      </c>
      <c r="W46" s="69" t="str">
        <f t="shared" si="19"/>
        <v/>
      </c>
    </row>
    <row r="47" ht="14.25" customHeight="1">
      <c r="A47" s="60">
        <v>46308.0</v>
      </c>
      <c r="B47" s="101">
        <v>361.0</v>
      </c>
      <c r="C47" s="101">
        <v>183.0</v>
      </c>
      <c r="D47" s="64"/>
      <c r="L47" s="15" t="s">
        <v>26</v>
      </c>
      <c r="M47" s="14"/>
      <c r="P47" s="15" t="s">
        <v>26</v>
      </c>
      <c r="Q47" s="22"/>
      <c r="S47" s="8" t="s">
        <v>56</v>
      </c>
    </row>
    <row r="48" ht="14.25" customHeight="1">
      <c r="A48" s="60">
        <v>46309.0</v>
      </c>
      <c r="B48" s="101">
        <v>711.0</v>
      </c>
      <c r="C48" s="101">
        <v>265.0</v>
      </c>
      <c r="D48" s="64"/>
      <c r="L48" s="15" t="s">
        <v>51</v>
      </c>
      <c r="M48" s="14"/>
      <c r="P48" s="15" t="s">
        <v>51</v>
      </c>
      <c r="Q48" s="22"/>
    </row>
    <row r="49" ht="14.25" customHeight="1">
      <c r="A49" s="60">
        <v>46310.0</v>
      </c>
      <c r="B49" s="101">
        <v>762.0</v>
      </c>
      <c r="C49" s="101">
        <v>517.0</v>
      </c>
      <c r="D49" s="64"/>
      <c r="F49" s="11" t="s">
        <v>15</v>
      </c>
      <c r="G49" s="11" t="s">
        <v>9</v>
      </c>
      <c r="H49" s="11" t="s">
        <v>10</v>
      </c>
      <c r="I49" s="11" t="s">
        <v>45</v>
      </c>
      <c r="L49" s="15" t="s">
        <v>53</v>
      </c>
      <c r="M49" s="14"/>
      <c r="P49" s="15" t="s">
        <v>53</v>
      </c>
      <c r="Q49" s="22"/>
    </row>
    <row r="50" ht="14.25" customHeight="1">
      <c r="A50" s="60">
        <v>46311.0</v>
      </c>
      <c r="B50" s="101">
        <v>617.0</v>
      </c>
      <c r="C50" s="101">
        <v>399.0</v>
      </c>
      <c r="D50" s="64"/>
      <c r="F50" s="15" t="s">
        <v>46</v>
      </c>
      <c r="G50" s="22"/>
      <c r="H50" s="22"/>
      <c r="I50" s="66" t="str">
        <f t="shared" ref="I50:I56" si="22">H50/G50</f>
        <v>#DIV/0!</v>
      </c>
      <c r="L50" s="15" t="s">
        <v>55</v>
      </c>
      <c r="M50" s="14"/>
      <c r="P50" s="15" t="s">
        <v>55</v>
      </c>
      <c r="Q50" s="92"/>
    </row>
    <row r="51" ht="14.25" customHeight="1">
      <c r="A51" s="60">
        <v>46312.0</v>
      </c>
      <c r="B51" s="113"/>
      <c r="C51" s="101"/>
      <c r="D51" s="64"/>
      <c r="F51" s="13" t="s">
        <v>48</v>
      </c>
      <c r="G51" s="22"/>
      <c r="H51" s="22"/>
      <c r="I51" s="66" t="str">
        <f t="shared" si="22"/>
        <v>#DIV/0!</v>
      </c>
      <c r="L51" s="15" t="s">
        <v>58</v>
      </c>
      <c r="M51" s="14"/>
      <c r="P51" s="15" t="s">
        <v>58</v>
      </c>
      <c r="Q51" s="22"/>
    </row>
    <row r="52" ht="14.25" customHeight="1">
      <c r="A52" s="60">
        <v>46313.0</v>
      </c>
      <c r="B52" s="113"/>
      <c r="C52" s="101"/>
      <c r="D52" s="64"/>
      <c r="F52" s="15" t="s">
        <v>49</v>
      </c>
      <c r="G52" s="22"/>
      <c r="H52" s="22"/>
      <c r="I52" s="66" t="str">
        <f t="shared" si="22"/>
        <v>#DIV/0!</v>
      </c>
      <c r="L52" s="15" t="s">
        <v>60</v>
      </c>
      <c r="M52" s="14"/>
      <c r="P52" s="15" t="s">
        <v>60</v>
      </c>
      <c r="Q52" s="22"/>
    </row>
    <row r="53" ht="14.25" customHeight="1">
      <c r="A53" s="60">
        <v>46314.0</v>
      </c>
      <c r="B53" s="113"/>
      <c r="C53" s="101"/>
      <c r="D53" s="64"/>
      <c r="F53" s="15" t="s">
        <v>50</v>
      </c>
      <c r="G53" s="22"/>
      <c r="H53" s="22"/>
      <c r="I53" s="66" t="str">
        <f t="shared" si="22"/>
        <v>#DIV/0!</v>
      </c>
      <c r="L53" s="15" t="s">
        <v>61</v>
      </c>
      <c r="M53" s="14"/>
      <c r="P53" s="15" t="s">
        <v>61</v>
      </c>
      <c r="Q53" s="22"/>
    </row>
    <row r="54" ht="14.25" customHeight="1">
      <c r="A54" s="60">
        <v>46315.0</v>
      </c>
      <c r="B54" s="113"/>
      <c r="C54" s="101"/>
      <c r="D54" s="64"/>
      <c r="F54" s="15" t="s">
        <v>52</v>
      </c>
      <c r="G54" s="22"/>
      <c r="H54" s="22"/>
      <c r="I54" s="66" t="str">
        <f t="shared" si="22"/>
        <v>#DIV/0!</v>
      </c>
      <c r="L54" s="15" t="s">
        <v>62</v>
      </c>
      <c r="M54" s="14"/>
      <c r="P54" s="15" t="s">
        <v>62</v>
      </c>
      <c r="Q54" s="22"/>
    </row>
    <row r="55" ht="14.25" customHeight="1">
      <c r="A55" s="60">
        <v>46316.0</v>
      </c>
      <c r="B55" s="113"/>
      <c r="C55" s="101"/>
      <c r="D55" s="64"/>
      <c r="F55" s="15" t="s">
        <v>54</v>
      </c>
      <c r="G55" s="22"/>
      <c r="H55" s="22"/>
      <c r="I55" s="66" t="str">
        <f t="shared" si="22"/>
        <v>#DIV/0!</v>
      </c>
      <c r="L55" s="65" t="s">
        <v>63</v>
      </c>
      <c r="M55" s="25">
        <f>SUMPRODUCT(M45:M54)</f>
        <v>0</v>
      </c>
      <c r="P55" s="65" t="s">
        <v>32</v>
      </c>
      <c r="Q55" s="25">
        <f>SUMPRODUCT(Q45:Q54)</f>
        <v>0</v>
      </c>
      <c r="S55" s="27" t="s">
        <v>30</v>
      </c>
      <c r="T55" s="28"/>
      <c r="U55" s="6"/>
      <c r="V55" s="29" t="s">
        <v>30</v>
      </c>
      <c r="W55" s="29"/>
    </row>
    <row r="56" ht="14.25" customHeight="1">
      <c r="A56" s="60">
        <v>46317.0</v>
      </c>
      <c r="B56" s="113"/>
      <c r="C56" s="101"/>
      <c r="D56" s="64"/>
      <c r="F56" s="15" t="s">
        <v>57</v>
      </c>
      <c r="G56" s="22"/>
      <c r="H56" s="22"/>
      <c r="I56" s="66" t="str">
        <f t="shared" si="22"/>
        <v>#DIV/0!</v>
      </c>
      <c r="S56" s="11" t="s">
        <v>8</v>
      </c>
      <c r="T56" s="11" t="s">
        <v>9</v>
      </c>
      <c r="V56" s="11" t="s">
        <v>8</v>
      </c>
      <c r="W56" s="11" t="s">
        <v>10</v>
      </c>
    </row>
    <row r="57" ht="14.25" customHeight="1">
      <c r="A57" s="60">
        <v>46318.0</v>
      </c>
      <c r="B57" s="113"/>
      <c r="C57" s="101"/>
      <c r="D57" s="64"/>
      <c r="F57" s="24" t="s">
        <v>59</v>
      </c>
      <c r="G57" s="25">
        <f t="shared" ref="G57:H57" si="23">SUMPRODUCT(G50:G56)</f>
        <v>0</v>
      </c>
      <c r="H57" s="25">
        <f t="shared" si="23"/>
        <v>0</v>
      </c>
      <c r="I57" s="85" t="str">
        <f>AVERAGE(I50:I56)</f>
        <v>#DIV/0!</v>
      </c>
      <c r="S57" s="68" t="s">
        <v>21</v>
      </c>
      <c r="T57" s="69" t="str">
        <f t="shared" ref="T57:T67" si="24">IFERROR((M66-M52)/M52,"")</f>
        <v/>
      </c>
      <c r="V57" s="68" t="s">
        <v>21</v>
      </c>
      <c r="W57" s="69" t="str">
        <f t="shared" ref="W57:W67" si="25">IFERROR((Q66-Q52)/Q52,"")</f>
        <v/>
      </c>
    </row>
    <row r="58" ht="14.25" customHeight="1">
      <c r="A58" s="60">
        <v>46319.0</v>
      </c>
      <c r="B58" s="113"/>
      <c r="C58" s="101"/>
      <c r="D58" s="64"/>
      <c r="S58" s="68" t="s">
        <v>24</v>
      </c>
      <c r="T58" s="69" t="str">
        <f t="shared" si="24"/>
        <v/>
      </c>
      <c r="V58" s="68" t="s">
        <v>24</v>
      </c>
      <c r="W58" s="69" t="str">
        <f t="shared" si="25"/>
        <v/>
      </c>
    </row>
    <row r="59" ht="14.25" customHeight="1">
      <c r="A59" s="60">
        <v>46320.0</v>
      </c>
      <c r="B59" s="113"/>
      <c r="C59" s="101"/>
      <c r="D59" s="64"/>
      <c r="L59" s="11" t="s">
        <v>8</v>
      </c>
      <c r="M59" s="11" t="s">
        <v>9</v>
      </c>
      <c r="O59" s="90" t="str">
        <f>M60/M46</f>
        <v>#DIV/0!</v>
      </c>
      <c r="P59" s="11" t="s">
        <v>8</v>
      </c>
      <c r="Q59" s="11" t="s">
        <v>10</v>
      </c>
      <c r="S59" s="68" t="s">
        <v>26</v>
      </c>
      <c r="T59" s="69" t="str">
        <f t="shared" si="24"/>
        <v/>
      </c>
      <c r="V59" s="68" t="s">
        <v>26</v>
      </c>
      <c r="W59" s="69" t="str">
        <f t="shared" si="25"/>
        <v/>
      </c>
    </row>
    <row r="60" ht="14.25" customHeight="1">
      <c r="A60" s="60">
        <v>46321.0</v>
      </c>
      <c r="B60" s="113"/>
      <c r="C60" s="101"/>
      <c r="D60" s="64"/>
      <c r="L60" s="13" t="s">
        <v>21</v>
      </c>
      <c r="M60" s="14"/>
      <c r="P60" s="13" t="s">
        <v>21</v>
      </c>
      <c r="Q60" s="14"/>
      <c r="S60" s="68" t="s">
        <v>51</v>
      </c>
      <c r="T60" s="69" t="str">
        <f t="shared" si="24"/>
        <v/>
      </c>
      <c r="V60" s="68" t="s">
        <v>51</v>
      </c>
      <c r="W60" s="69" t="str">
        <f t="shared" si="25"/>
        <v/>
      </c>
    </row>
    <row r="61" ht="14.25" customHeight="1">
      <c r="A61" s="60">
        <v>46322.0</v>
      </c>
      <c r="B61" s="113"/>
      <c r="C61" s="101"/>
      <c r="D61" s="64"/>
      <c r="L61" s="15" t="s">
        <v>24</v>
      </c>
      <c r="M61" s="14"/>
      <c r="P61" s="15" t="s">
        <v>24</v>
      </c>
      <c r="Q61" s="22"/>
      <c r="S61" s="68" t="s">
        <v>53</v>
      </c>
      <c r="T61" s="69" t="str">
        <f t="shared" si="24"/>
        <v/>
      </c>
      <c r="V61" s="68" t="s">
        <v>53</v>
      </c>
      <c r="W61" s="69" t="str">
        <f t="shared" si="25"/>
        <v/>
      </c>
    </row>
    <row r="62" ht="14.25" customHeight="1">
      <c r="A62" s="60">
        <v>46323.0</v>
      </c>
      <c r="B62" s="113"/>
      <c r="C62" s="101"/>
      <c r="D62" s="64"/>
      <c r="L62" s="15" t="s">
        <v>26</v>
      </c>
      <c r="M62" s="14"/>
      <c r="P62" s="15" t="s">
        <v>26</v>
      </c>
      <c r="Q62" s="22"/>
      <c r="S62" s="68" t="s">
        <v>55</v>
      </c>
      <c r="T62" s="69" t="str">
        <f t="shared" si="24"/>
        <v/>
      </c>
      <c r="V62" s="68" t="s">
        <v>55</v>
      </c>
      <c r="W62" s="69" t="str">
        <f t="shared" si="25"/>
        <v/>
      </c>
    </row>
    <row r="63" ht="14.25" customHeight="1">
      <c r="A63" s="60">
        <v>46324.0</v>
      </c>
      <c r="B63" s="113"/>
      <c r="C63" s="101"/>
      <c r="D63" s="64"/>
      <c r="L63" s="15" t="s">
        <v>51</v>
      </c>
      <c r="M63" s="14"/>
      <c r="P63" s="15" t="s">
        <v>51</v>
      </c>
      <c r="Q63" s="22"/>
      <c r="S63" s="68" t="s">
        <v>58</v>
      </c>
      <c r="T63" s="69" t="str">
        <f t="shared" si="24"/>
        <v/>
      </c>
      <c r="V63" s="68" t="s">
        <v>58</v>
      </c>
      <c r="W63" s="69" t="str">
        <f t="shared" si="25"/>
        <v/>
      </c>
    </row>
    <row r="64" ht="14.25" customHeight="1">
      <c r="A64" s="60">
        <v>46325.0</v>
      </c>
      <c r="B64" s="113"/>
      <c r="C64" s="101"/>
      <c r="D64" s="64"/>
      <c r="L64" s="15" t="s">
        <v>53</v>
      </c>
      <c r="M64" s="14"/>
      <c r="P64" s="15" t="s">
        <v>53</v>
      </c>
      <c r="Q64" s="22"/>
      <c r="S64" s="68" t="s">
        <v>60</v>
      </c>
      <c r="T64" s="69" t="str">
        <f t="shared" si="24"/>
        <v/>
      </c>
      <c r="V64" s="68" t="s">
        <v>60</v>
      </c>
      <c r="W64" s="69" t="str">
        <f t="shared" si="25"/>
        <v/>
      </c>
    </row>
    <row r="65" ht="14.25" customHeight="1">
      <c r="A65" s="60">
        <v>46326.0</v>
      </c>
      <c r="B65" s="113"/>
      <c r="C65" s="101"/>
      <c r="D65" s="64"/>
      <c r="L65" s="15" t="s">
        <v>55</v>
      </c>
      <c r="M65" s="14"/>
      <c r="P65" s="15" t="s">
        <v>55</v>
      </c>
      <c r="Q65" s="92"/>
      <c r="S65" s="68" t="s">
        <v>61</v>
      </c>
      <c r="T65" s="69" t="str">
        <f t="shared" si="24"/>
        <v/>
      </c>
      <c r="V65" s="68" t="s">
        <v>61</v>
      </c>
      <c r="W65" s="69" t="str">
        <f t="shared" si="25"/>
        <v/>
      </c>
    </row>
    <row r="66" ht="14.25" customHeight="1">
      <c r="A66" s="60">
        <v>46327.0</v>
      </c>
      <c r="B66" s="113"/>
      <c r="C66" s="101"/>
      <c r="D66" s="64"/>
      <c r="L66" s="15" t="s">
        <v>58</v>
      </c>
      <c r="M66" s="14"/>
      <c r="P66" s="15" t="s">
        <v>58</v>
      </c>
      <c r="Q66" s="22"/>
      <c r="S66" s="68" t="s">
        <v>62</v>
      </c>
      <c r="T66" s="69" t="str">
        <f t="shared" si="24"/>
        <v/>
      </c>
      <c r="V66" s="68" t="s">
        <v>62</v>
      </c>
      <c r="W66" s="69" t="str">
        <f t="shared" si="25"/>
        <v/>
      </c>
    </row>
    <row r="67" ht="14.25" customHeight="1">
      <c r="A67" s="60">
        <v>46328.0</v>
      </c>
      <c r="B67" s="113"/>
      <c r="C67" s="113"/>
      <c r="D67" s="64"/>
      <c r="L67" s="15" t="s">
        <v>60</v>
      </c>
      <c r="M67" s="14"/>
      <c r="P67" s="15" t="s">
        <v>60</v>
      </c>
      <c r="Q67" s="22"/>
      <c r="S67" s="88" t="s">
        <v>63</v>
      </c>
      <c r="T67" s="69" t="str">
        <f t="shared" si="24"/>
        <v/>
      </c>
      <c r="V67" s="88" t="s">
        <v>32</v>
      </c>
      <c r="W67" s="69" t="str">
        <f t="shared" si="25"/>
        <v/>
      </c>
    </row>
    <row r="68" ht="14.25" customHeight="1">
      <c r="A68" s="60">
        <v>46329.0</v>
      </c>
      <c r="B68" s="113"/>
      <c r="C68" s="113"/>
      <c r="D68" s="64"/>
      <c r="L68" s="15" t="s">
        <v>61</v>
      </c>
      <c r="M68" s="14"/>
      <c r="P68" s="15" t="s">
        <v>61</v>
      </c>
      <c r="Q68" s="22"/>
      <c r="S68" s="8" t="s">
        <v>68</v>
      </c>
    </row>
    <row r="69" ht="14.25" customHeight="1">
      <c r="A69" s="60">
        <v>46330.0</v>
      </c>
      <c r="B69" s="113"/>
      <c r="C69" s="113"/>
      <c r="D69" s="64"/>
      <c r="L69" s="15" t="s">
        <v>62</v>
      </c>
      <c r="M69" s="14"/>
      <c r="P69" s="15" t="s">
        <v>62</v>
      </c>
      <c r="Q69" s="22"/>
    </row>
    <row r="70" ht="14.25" customHeight="1">
      <c r="A70" s="60">
        <v>46331.0</v>
      </c>
      <c r="B70" s="113"/>
      <c r="C70" s="113"/>
      <c r="D70" s="64"/>
      <c r="L70" s="65" t="s">
        <v>63</v>
      </c>
      <c r="M70" s="25">
        <f>SUMPRODUCT(M60:M69)</f>
        <v>0</v>
      </c>
      <c r="P70" s="65" t="s">
        <v>32</v>
      </c>
      <c r="Q70" s="25">
        <f>SUMPRODUCT(Q60:Q69)</f>
        <v>0</v>
      </c>
    </row>
    <row r="71" ht="14.25" customHeight="1">
      <c r="A71" s="60">
        <v>46332.0</v>
      </c>
      <c r="B71" s="113"/>
      <c r="C71" s="113"/>
      <c r="D71" s="64"/>
    </row>
    <row r="72" ht="14.25" customHeight="1">
      <c r="A72" s="60">
        <v>46333.0</v>
      </c>
      <c r="B72" s="113"/>
      <c r="C72" s="113"/>
      <c r="D72" s="64"/>
    </row>
    <row r="73" ht="14.25" customHeight="1">
      <c r="A73" s="60">
        <v>46334.0</v>
      </c>
      <c r="B73" s="113"/>
      <c r="C73" s="113"/>
      <c r="D73" s="64"/>
    </row>
    <row r="74" ht="14.25" customHeight="1">
      <c r="A74" s="60">
        <v>46335.0</v>
      </c>
      <c r="B74" s="113"/>
      <c r="C74" s="113"/>
      <c r="D74" s="64"/>
    </row>
    <row r="75" ht="14.25" customHeight="1">
      <c r="A75" s="60">
        <v>46336.0</v>
      </c>
      <c r="B75" s="113"/>
      <c r="C75" s="113"/>
      <c r="D75" s="64"/>
    </row>
    <row r="76" ht="14.25" customHeight="1">
      <c r="A76" s="60">
        <v>46337.0</v>
      </c>
      <c r="B76" s="113"/>
      <c r="C76" s="113"/>
      <c r="D76" s="64"/>
    </row>
    <row r="77" ht="14.25" customHeight="1">
      <c r="A77" s="60">
        <v>46338.0</v>
      </c>
      <c r="B77" s="113"/>
      <c r="C77" s="113"/>
      <c r="D77" s="64"/>
    </row>
    <row r="78" ht="14.25" customHeight="1">
      <c r="A78" s="60">
        <v>46339.0</v>
      </c>
      <c r="B78" s="113"/>
      <c r="C78" s="113"/>
      <c r="D78" s="64"/>
    </row>
    <row r="79" ht="14.25" customHeight="1">
      <c r="A79" s="60">
        <v>46340.0</v>
      </c>
      <c r="B79" s="113"/>
      <c r="C79" s="113"/>
      <c r="D79" s="64"/>
    </row>
    <row r="80" ht="14.25" customHeight="1">
      <c r="A80" s="60">
        <v>46341.0</v>
      </c>
      <c r="B80" s="113"/>
      <c r="C80" s="113"/>
      <c r="D80" s="64"/>
    </row>
    <row r="81" ht="14.25" customHeight="1">
      <c r="A81" s="60">
        <v>46342.0</v>
      </c>
      <c r="B81" s="113"/>
      <c r="C81" s="113"/>
      <c r="D81" s="64"/>
    </row>
    <row r="82" ht="14.25" customHeight="1">
      <c r="A82" s="60">
        <v>46343.0</v>
      </c>
      <c r="B82" s="113"/>
      <c r="C82" s="113"/>
      <c r="D82" s="64"/>
    </row>
    <row r="83" ht="14.25" customHeight="1">
      <c r="A83" s="60">
        <v>46344.0</v>
      </c>
      <c r="B83" s="113"/>
      <c r="C83" s="113"/>
      <c r="D83" s="64"/>
    </row>
    <row r="84" ht="14.25" customHeight="1">
      <c r="A84" s="60">
        <v>46345.0</v>
      </c>
      <c r="B84" s="113"/>
      <c r="C84" s="113"/>
      <c r="D84" s="64"/>
    </row>
    <row r="85" ht="14.25" customHeight="1">
      <c r="A85" s="60">
        <v>46346.0</v>
      </c>
      <c r="B85" s="113"/>
      <c r="C85" s="113"/>
      <c r="D85" s="64"/>
    </row>
    <row r="86" ht="14.25" customHeight="1">
      <c r="A86" s="60">
        <v>46347.0</v>
      </c>
      <c r="B86" s="113"/>
      <c r="C86" s="113"/>
      <c r="D86" s="64"/>
    </row>
    <row r="87" ht="14.25" customHeight="1">
      <c r="A87" s="60">
        <v>46348.0</v>
      </c>
      <c r="B87" s="113"/>
      <c r="C87" s="113"/>
      <c r="D87" s="64"/>
    </row>
    <row r="88" ht="14.25" customHeight="1">
      <c r="A88" s="60">
        <v>46349.0</v>
      </c>
      <c r="B88" s="113"/>
      <c r="C88" s="113"/>
      <c r="D88" s="64"/>
    </row>
    <row r="89" ht="14.25" customHeight="1">
      <c r="A89" s="60">
        <v>46350.0</v>
      </c>
      <c r="B89" s="113"/>
      <c r="C89" s="113"/>
      <c r="D89" s="64"/>
    </row>
    <row r="90" ht="14.25" customHeight="1">
      <c r="A90" s="60">
        <v>46351.0</v>
      </c>
      <c r="B90" s="113"/>
      <c r="C90" s="113"/>
      <c r="D90" s="64"/>
    </row>
    <row r="91" ht="14.25" customHeight="1">
      <c r="D91" s="67"/>
    </row>
    <row r="92" ht="14.25" customHeight="1">
      <c r="D92" s="67"/>
    </row>
    <row r="93" ht="14.25" customHeight="1">
      <c r="A93" s="128" t="s">
        <v>29</v>
      </c>
      <c r="B93" s="128">
        <f>SUMPRODUCT(B3:B34)</f>
        <v>16258</v>
      </c>
      <c r="C93" s="128">
        <f>SUMPRODUCT(C4:C34)</f>
        <v>9023</v>
      </c>
      <c r="D93" s="129"/>
    </row>
    <row r="94" ht="14.25" customHeight="1">
      <c r="D94" s="67"/>
    </row>
    <row r="95" ht="14.25" customHeight="1">
      <c r="D95" s="67"/>
    </row>
    <row r="96" ht="14.25" customHeight="1">
      <c r="D96" s="67"/>
    </row>
    <row r="97" ht="14.25" customHeight="1">
      <c r="D97" s="67"/>
    </row>
    <row r="98" ht="14.25" customHeight="1">
      <c r="D98" s="67"/>
    </row>
    <row r="99" ht="14.25" customHeight="1">
      <c r="D99" s="67"/>
    </row>
    <row r="100" ht="14.25" customHeight="1">
      <c r="D100" s="67"/>
    </row>
    <row r="101" ht="14.25" customHeight="1">
      <c r="D101" s="67"/>
    </row>
    <row r="102" ht="14.25" customHeight="1">
      <c r="D102" s="67"/>
    </row>
    <row r="103" ht="14.25" customHeight="1">
      <c r="D103" s="67"/>
    </row>
    <row r="104" ht="14.25" customHeight="1">
      <c r="D104" s="67"/>
    </row>
    <row r="105" ht="14.25" customHeight="1">
      <c r="D105" s="67"/>
    </row>
    <row r="106" ht="14.25" customHeight="1">
      <c r="D106" s="67"/>
    </row>
    <row r="107" ht="14.25" customHeight="1">
      <c r="D107" s="67"/>
    </row>
    <row r="108" ht="14.25" customHeight="1">
      <c r="D108" s="67"/>
    </row>
    <row r="109" ht="14.25" customHeight="1">
      <c r="D109" s="67"/>
    </row>
    <row r="110" ht="14.25" customHeight="1">
      <c r="D110" s="67"/>
    </row>
    <row r="111" ht="14.25" customHeight="1">
      <c r="D111" s="67"/>
    </row>
    <row r="112" ht="14.25" customHeight="1">
      <c r="D112" s="67"/>
    </row>
    <row r="113" ht="14.25" customHeight="1">
      <c r="D113" s="67"/>
    </row>
    <row r="114" ht="14.25" customHeight="1">
      <c r="D114" s="67"/>
    </row>
    <row r="115" ht="14.25" customHeight="1">
      <c r="D115" s="67"/>
    </row>
    <row r="116" ht="14.25" customHeight="1">
      <c r="D116" s="67"/>
    </row>
    <row r="117" ht="14.25" customHeight="1">
      <c r="D117" s="67"/>
    </row>
    <row r="118" ht="14.25" customHeight="1">
      <c r="D118" s="67"/>
    </row>
    <row r="119" ht="14.25" customHeight="1">
      <c r="D119" s="67"/>
    </row>
    <row r="120" ht="14.25" customHeight="1">
      <c r="D120" s="67"/>
    </row>
    <row r="121" ht="14.25" customHeight="1">
      <c r="D121" s="67"/>
    </row>
    <row r="122" ht="14.25" customHeight="1">
      <c r="D122" s="67"/>
    </row>
    <row r="123" ht="14.25" customHeight="1">
      <c r="D123" s="67"/>
    </row>
    <row r="124" ht="14.25" customHeight="1">
      <c r="D124" s="67"/>
    </row>
    <row r="125" ht="14.25" customHeight="1">
      <c r="D125" s="67"/>
    </row>
    <row r="126" ht="14.25" customHeight="1">
      <c r="D126" s="67"/>
    </row>
    <row r="127" ht="14.25" customHeight="1">
      <c r="D127" s="67"/>
    </row>
    <row r="128" ht="14.25" customHeight="1">
      <c r="D128" s="67"/>
    </row>
    <row r="129" ht="14.25" customHeight="1">
      <c r="D129" s="67"/>
    </row>
    <row r="130" ht="14.25" customHeight="1">
      <c r="D130" s="67"/>
    </row>
    <row r="131" ht="14.25" customHeight="1">
      <c r="D131" s="67"/>
    </row>
    <row r="132" ht="14.25" customHeight="1">
      <c r="D132" s="67"/>
    </row>
    <row r="133" ht="14.25" customHeight="1">
      <c r="D133" s="67"/>
    </row>
    <row r="134" ht="14.25" customHeight="1">
      <c r="D134" s="67"/>
    </row>
    <row r="135" ht="14.25" customHeight="1">
      <c r="D135" s="67"/>
    </row>
    <row r="136" ht="14.25" customHeight="1">
      <c r="D136" s="67"/>
    </row>
    <row r="137" ht="14.25" customHeight="1">
      <c r="D137" s="67"/>
    </row>
    <row r="138" ht="14.25" customHeight="1">
      <c r="D138" s="67"/>
    </row>
    <row r="139" ht="14.25" customHeight="1">
      <c r="D139" s="67"/>
    </row>
    <row r="140" ht="14.25" customHeight="1">
      <c r="D140" s="67"/>
    </row>
    <row r="141" ht="14.25" customHeight="1">
      <c r="D141" s="67"/>
    </row>
    <row r="142" ht="14.25" customHeight="1">
      <c r="D142" s="67"/>
    </row>
    <row r="143" ht="14.25" customHeight="1">
      <c r="D143" s="67"/>
    </row>
    <row r="144" ht="14.25" customHeight="1">
      <c r="D144" s="67"/>
    </row>
    <row r="145" ht="14.25" customHeight="1">
      <c r="D145" s="67"/>
    </row>
    <row r="146" ht="14.25" customHeight="1">
      <c r="D146" s="67"/>
    </row>
    <row r="147" ht="14.25" customHeight="1">
      <c r="D147" s="67"/>
    </row>
    <row r="148" ht="14.25" customHeight="1">
      <c r="D148" s="67"/>
    </row>
    <row r="149" ht="14.25" customHeight="1">
      <c r="D149" s="67"/>
    </row>
    <row r="150" ht="14.25" customHeight="1">
      <c r="D150" s="67"/>
    </row>
    <row r="151" ht="14.25" customHeight="1">
      <c r="D151" s="67"/>
    </row>
    <row r="152" ht="14.25" customHeight="1">
      <c r="D152" s="67"/>
    </row>
    <row r="153" ht="14.25" customHeight="1">
      <c r="D153" s="67"/>
    </row>
    <row r="154" ht="14.25" customHeight="1">
      <c r="D154" s="67"/>
    </row>
    <row r="155" ht="14.25" customHeight="1">
      <c r="D155" s="67"/>
    </row>
    <row r="156" ht="14.25" customHeight="1">
      <c r="D156" s="67"/>
    </row>
    <row r="157" ht="14.25" customHeight="1">
      <c r="D157" s="67"/>
    </row>
    <row r="158" ht="14.25" customHeight="1">
      <c r="D158" s="67"/>
    </row>
    <row r="159" ht="14.25" customHeight="1">
      <c r="D159" s="67"/>
    </row>
    <row r="160" ht="14.25" customHeight="1">
      <c r="D160" s="67"/>
    </row>
    <row r="161" ht="14.25" customHeight="1">
      <c r="D161" s="67"/>
    </row>
    <row r="162" ht="14.25" customHeight="1">
      <c r="D162" s="67"/>
    </row>
    <row r="163" ht="14.25" customHeight="1">
      <c r="D163" s="67"/>
    </row>
    <row r="164" ht="14.25" customHeight="1">
      <c r="D164" s="67"/>
    </row>
    <row r="165" ht="14.25" customHeight="1">
      <c r="D165" s="67"/>
    </row>
    <row r="166" ht="14.25" customHeight="1">
      <c r="D166" s="67"/>
    </row>
    <row r="167" ht="14.25" customHeight="1">
      <c r="D167" s="67"/>
    </row>
    <row r="168" ht="14.25" customHeight="1">
      <c r="D168" s="67"/>
    </row>
    <row r="169" ht="14.25" customHeight="1">
      <c r="D169" s="67"/>
    </row>
    <row r="170" ht="14.25" customHeight="1">
      <c r="D170" s="67"/>
    </row>
    <row r="171" ht="14.25" customHeight="1">
      <c r="D171" s="67"/>
    </row>
    <row r="172" ht="14.25" customHeight="1">
      <c r="D172" s="67"/>
    </row>
    <row r="173" ht="14.25" customHeight="1">
      <c r="D173" s="67"/>
    </row>
    <row r="174" ht="14.25" customHeight="1">
      <c r="D174" s="67"/>
    </row>
    <row r="175" ht="14.25" customHeight="1">
      <c r="D175" s="67"/>
    </row>
    <row r="176" ht="14.25" customHeight="1">
      <c r="D176" s="67"/>
    </row>
    <row r="177" ht="14.25" customHeight="1">
      <c r="D177" s="67"/>
    </row>
    <row r="178" ht="14.25" customHeight="1">
      <c r="D178" s="67"/>
    </row>
    <row r="179" ht="14.25" customHeight="1">
      <c r="D179" s="67"/>
    </row>
    <row r="180" ht="14.25" customHeight="1">
      <c r="D180" s="67"/>
    </row>
    <row r="181" ht="14.25" customHeight="1">
      <c r="D181" s="67"/>
    </row>
    <row r="182" ht="14.25" customHeight="1">
      <c r="D182" s="67"/>
    </row>
    <row r="183" ht="14.25" customHeight="1">
      <c r="D183" s="67"/>
    </row>
    <row r="184" ht="14.25" customHeight="1">
      <c r="D184" s="67"/>
    </row>
    <row r="185" ht="14.25" customHeight="1">
      <c r="D185" s="67"/>
    </row>
    <row r="186" ht="14.25" customHeight="1">
      <c r="D186" s="67"/>
    </row>
    <row r="187" ht="14.25" customHeight="1">
      <c r="D187" s="67"/>
    </row>
    <row r="188" ht="14.25" customHeight="1">
      <c r="D188" s="67"/>
    </row>
    <row r="189" ht="14.25" customHeight="1">
      <c r="D189" s="67"/>
    </row>
    <row r="190" ht="14.25" customHeight="1">
      <c r="D190" s="67"/>
    </row>
    <row r="191" ht="14.25" customHeight="1">
      <c r="D191" s="67"/>
    </row>
    <row r="192" ht="14.25" customHeight="1">
      <c r="D192" s="67"/>
    </row>
    <row r="193" ht="14.25" customHeight="1">
      <c r="D193" s="67"/>
    </row>
    <row r="194" ht="14.25" customHeight="1">
      <c r="D194" s="67"/>
    </row>
    <row r="195" ht="14.25" customHeight="1">
      <c r="D195" s="67"/>
    </row>
    <row r="196" ht="14.25" customHeight="1">
      <c r="D196" s="67"/>
    </row>
    <row r="197" ht="14.25" customHeight="1">
      <c r="D197" s="67"/>
    </row>
    <row r="198" ht="14.25" customHeight="1">
      <c r="D198" s="67"/>
    </row>
    <row r="199" ht="14.25" customHeight="1">
      <c r="D199" s="67"/>
    </row>
    <row r="200" ht="14.25" customHeight="1">
      <c r="D200" s="67"/>
    </row>
    <row r="201" ht="14.25" customHeight="1">
      <c r="D201" s="67"/>
    </row>
    <row r="202" ht="14.25" customHeight="1">
      <c r="D202" s="67"/>
    </row>
    <row r="203" ht="14.25" customHeight="1">
      <c r="D203" s="67"/>
    </row>
    <row r="204" ht="14.25" customHeight="1">
      <c r="D204" s="67"/>
    </row>
    <row r="205" ht="14.25" customHeight="1">
      <c r="D205" s="67"/>
    </row>
    <row r="206" ht="14.25" customHeight="1">
      <c r="D206" s="67"/>
    </row>
    <row r="207" ht="14.25" customHeight="1">
      <c r="D207" s="67"/>
    </row>
    <row r="208" ht="14.25" customHeight="1">
      <c r="D208" s="67"/>
    </row>
    <row r="209" ht="14.25" customHeight="1">
      <c r="D209" s="67"/>
    </row>
    <row r="210" ht="14.25" customHeight="1">
      <c r="D210" s="67"/>
    </row>
    <row r="211" ht="14.25" customHeight="1">
      <c r="D211" s="67"/>
    </row>
    <row r="212" ht="14.25" customHeight="1">
      <c r="D212" s="67"/>
    </row>
    <row r="213" ht="14.25" customHeight="1">
      <c r="D213" s="67"/>
    </row>
    <row r="214" ht="14.25" customHeight="1">
      <c r="D214" s="67"/>
    </row>
    <row r="215" ht="14.25" customHeight="1">
      <c r="D215" s="67"/>
    </row>
    <row r="216" ht="14.25" customHeight="1">
      <c r="D216" s="67"/>
    </row>
    <row r="217" ht="14.25" customHeight="1">
      <c r="D217" s="67"/>
    </row>
    <row r="218" ht="14.25" customHeight="1">
      <c r="D218" s="67"/>
    </row>
    <row r="219" ht="14.25" customHeight="1">
      <c r="D219" s="67"/>
    </row>
    <row r="220" ht="14.25" customHeight="1">
      <c r="D220" s="67"/>
    </row>
    <row r="221" ht="14.25" customHeight="1">
      <c r="D221" s="67"/>
    </row>
    <row r="222" ht="14.25" customHeight="1">
      <c r="D222" s="67"/>
    </row>
    <row r="223" ht="14.25" customHeight="1">
      <c r="D223" s="67"/>
    </row>
    <row r="224" ht="14.25" customHeight="1">
      <c r="D224" s="67"/>
    </row>
    <row r="225" ht="14.25" customHeight="1">
      <c r="D225" s="67"/>
    </row>
    <row r="226" ht="14.25" customHeight="1">
      <c r="D226" s="67"/>
    </row>
    <row r="227" ht="14.25" customHeight="1">
      <c r="D227" s="67"/>
    </row>
    <row r="228" ht="14.25" customHeight="1">
      <c r="D228" s="67"/>
    </row>
    <row r="229" ht="14.25" customHeight="1">
      <c r="D229" s="67"/>
    </row>
    <row r="230" ht="14.25" customHeight="1">
      <c r="D230" s="67"/>
    </row>
    <row r="231" ht="14.25" customHeight="1">
      <c r="D231" s="67"/>
    </row>
    <row r="232" ht="14.25" customHeight="1">
      <c r="D232" s="67"/>
    </row>
    <row r="233" ht="14.25" customHeight="1">
      <c r="D233" s="67"/>
    </row>
    <row r="234" ht="14.25" customHeight="1">
      <c r="D234" s="67"/>
    </row>
    <row r="235" ht="14.25" customHeight="1">
      <c r="D235" s="67"/>
    </row>
    <row r="236" ht="14.25" customHeight="1">
      <c r="D236" s="67"/>
    </row>
    <row r="237" ht="14.25" customHeight="1">
      <c r="D237" s="67"/>
    </row>
    <row r="238" ht="14.25" customHeight="1">
      <c r="D238" s="67"/>
    </row>
    <row r="239" ht="14.25" customHeight="1">
      <c r="D239" s="67"/>
    </row>
    <row r="240" ht="14.25" customHeight="1">
      <c r="D240" s="67"/>
    </row>
    <row r="241" ht="14.25" customHeight="1">
      <c r="D241" s="67"/>
    </row>
    <row r="242" ht="14.25" customHeight="1">
      <c r="D242" s="67"/>
    </row>
    <row r="243" ht="14.25" customHeight="1">
      <c r="D243" s="67"/>
    </row>
    <row r="244" ht="14.25" customHeight="1">
      <c r="D244" s="67"/>
    </row>
    <row r="245" ht="14.25" customHeight="1">
      <c r="D245" s="67"/>
    </row>
    <row r="246" ht="14.25" customHeight="1">
      <c r="D246" s="67"/>
    </row>
    <row r="247" ht="14.25" customHeight="1">
      <c r="D247" s="67"/>
    </row>
    <row r="248" ht="14.25" customHeight="1">
      <c r="D248" s="67"/>
    </row>
    <row r="249" ht="14.25" customHeight="1">
      <c r="D249" s="67"/>
    </row>
    <row r="250" ht="14.25" customHeight="1">
      <c r="D250" s="67"/>
    </row>
    <row r="251" ht="14.25" customHeight="1">
      <c r="D251" s="67"/>
    </row>
    <row r="252" ht="14.25" customHeight="1">
      <c r="D252" s="67"/>
    </row>
    <row r="253" ht="14.25" customHeight="1">
      <c r="D253" s="67"/>
    </row>
    <row r="254" ht="14.25" customHeight="1">
      <c r="D254" s="67"/>
    </row>
    <row r="255" ht="14.25" customHeight="1">
      <c r="D255" s="67"/>
    </row>
    <row r="256" ht="14.25" customHeight="1">
      <c r="D256" s="67"/>
    </row>
    <row r="257" ht="14.25" customHeight="1">
      <c r="D257" s="67"/>
    </row>
    <row r="258" ht="14.25" customHeight="1">
      <c r="D258" s="67"/>
    </row>
    <row r="259" ht="14.25" customHeight="1">
      <c r="D259" s="67"/>
    </row>
    <row r="260" ht="14.25" customHeight="1">
      <c r="D260" s="67"/>
    </row>
    <row r="261" ht="14.25" customHeight="1">
      <c r="D261" s="67"/>
    </row>
    <row r="262" ht="14.25" customHeight="1">
      <c r="D262" s="67"/>
    </row>
    <row r="263" ht="14.25" customHeight="1">
      <c r="D263" s="67"/>
    </row>
    <row r="264" ht="14.25" customHeight="1">
      <c r="D264" s="67"/>
    </row>
    <row r="265" ht="14.25" customHeight="1">
      <c r="D265" s="67"/>
    </row>
    <row r="266" ht="14.25" customHeight="1">
      <c r="D266" s="67"/>
    </row>
    <row r="267" ht="14.25" customHeight="1">
      <c r="D267" s="67"/>
    </row>
    <row r="268" ht="14.25" customHeight="1">
      <c r="D268" s="67"/>
    </row>
    <row r="269" ht="14.25" customHeight="1">
      <c r="D269" s="67"/>
    </row>
    <row r="270" ht="14.25" customHeight="1">
      <c r="D270" s="67"/>
    </row>
    <row r="271" ht="14.25" customHeight="1">
      <c r="D271" s="67"/>
    </row>
    <row r="272" ht="14.25" customHeight="1">
      <c r="D272" s="67"/>
    </row>
    <row r="273" ht="14.25" customHeight="1">
      <c r="D273" s="67"/>
    </row>
    <row r="274" ht="14.25" customHeight="1">
      <c r="D274" s="67"/>
    </row>
    <row r="275" ht="14.25" customHeight="1">
      <c r="D275" s="67"/>
    </row>
    <row r="276" ht="14.25" customHeight="1">
      <c r="D276" s="67"/>
    </row>
    <row r="277" ht="14.25" customHeight="1">
      <c r="D277" s="67"/>
    </row>
    <row r="278" ht="14.25" customHeight="1">
      <c r="D278" s="67"/>
    </row>
    <row r="279" ht="14.25" customHeight="1">
      <c r="D279" s="67"/>
    </row>
    <row r="280" ht="14.25" customHeight="1">
      <c r="D280" s="67"/>
    </row>
    <row r="281" ht="14.25" customHeight="1">
      <c r="D281" s="67"/>
    </row>
    <row r="282" ht="14.25" customHeight="1">
      <c r="D282" s="67"/>
    </row>
    <row r="283" ht="14.25" customHeight="1">
      <c r="D283" s="67"/>
    </row>
    <row r="284" ht="14.25" customHeight="1">
      <c r="D284" s="67"/>
    </row>
    <row r="285" ht="14.25" customHeight="1">
      <c r="D285" s="67"/>
    </row>
    <row r="286" ht="14.25" customHeight="1">
      <c r="D286" s="67"/>
    </row>
    <row r="287" ht="14.25" customHeight="1">
      <c r="D287" s="67"/>
    </row>
    <row r="288" ht="14.25" customHeight="1">
      <c r="D288" s="67"/>
    </row>
    <row r="289" ht="14.25" customHeight="1">
      <c r="D289" s="67"/>
    </row>
    <row r="290" ht="14.25" customHeight="1">
      <c r="D290" s="67"/>
    </row>
    <row r="291" ht="14.25" customHeight="1">
      <c r="D291" s="67"/>
    </row>
    <row r="292" ht="14.25" customHeight="1">
      <c r="D292" s="67"/>
    </row>
    <row r="293" ht="14.25" customHeight="1">
      <c r="D293" s="67"/>
    </row>
    <row r="294" ht="14.25" customHeight="1">
      <c r="D294" s="67"/>
    </row>
    <row r="295" ht="14.25" customHeight="1">
      <c r="D295" s="67"/>
    </row>
    <row r="296" ht="14.25" customHeight="1">
      <c r="D296" s="67"/>
    </row>
    <row r="297" ht="14.25" customHeight="1">
      <c r="D297" s="67"/>
    </row>
    <row r="298" ht="14.25" customHeight="1">
      <c r="D298" s="67"/>
    </row>
    <row r="299" ht="14.25" customHeight="1">
      <c r="D299" s="67"/>
    </row>
    <row r="300" ht="14.25" customHeight="1">
      <c r="D300" s="67"/>
    </row>
    <row r="301" ht="14.25" customHeight="1">
      <c r="D301" s="67"/>
    </row>
    <row r="302" ht="14.25" customHeight="1">
      <c r="D302" s="67"/>
    </row>
    <row r="303" ht="14.25" customHeight="1">
      <c r="D303" s="67"/>
    </row>
    <row r="304" ht="14.25" customHeight="1">
      <c r="D304" s="67"/>
    </row>
    <row r="305" ht="14.25" customHeight="1">
      <c r="D305" s="67"/>
    </row>
    <row r="306" ht="14.25" customHeight="1">
      <c r="D306" s="67"/>
    </row>
    <row r="307" ht="14.25" customHeight="1">
      <c r="D307" s="67"/>
    </row>
    <row r="308" ht="14.25" customHeight="1">
      <c r="D308" s="67"/>
    </row>
    <row r="309" ht="14.25" customHeight="1">
      <c r="D309" s="67"/>
    </row>
    <row r="310" ht="14.25" customHeight="1">
      <c r="D310" s="67"/>
    </row>
    <row r="311" ht="14.25" customHeight="1">
      <c r="D311" s="67"/>
    </row>
    <row r="312" ht="14.25" customHeight="1">
      <c r="D312" s="67"/>
    </row>
    <row r="313" ht="14.25" customHeight="1">
      <c r="D313" s="67"/>
    </row>
    <row r="314" ht="14.25" customHeight="1">
      <c r="D314" s="67"/>
    </row>
    <row r="315" ht="14.25" customHeight="1">
      <c r="D315" s="67"/>
    </row>
    <row r="316" ht="14.25" customHeight="1">
      <c r="D316" s="67"/>
    </row>
    <row r="317" ht="14.25" customHeight="1">
      <c r="D317" s="67"/>
    </row>
    <row r="318" ht="14.25" customHeight="1">
      <c r="D318" s="67"/>
    </row>
    <row r="319" ht="14.25" customHeight="1">
      <c r="D319" s="67"/>
    </row>
    <row r="320" ht="14.25" customHeight="1">
      <c r="D320" s="67"/>
    </row>
    <row r="321" ht="14.25" customHeight="1">
      <c r="D321" s="67"/>
    </row>
    <row r="322" ht="14.25" customHeight="1">
      <c r="D322" s="67"/>
    </row>
    <row r="323" ht="14.25" customHeight="1">
      <c r="D323" s="67"/>
    </row>
    <row r="324" ht="14.25" customHeight="1">
      <c r="D324" s="67"/>
    </row>
    <row r="325" ht="14.25" customHeight="1">
      <c r="D325" s="67"/>
    </row>
    <row r="326" ht="14.25" customHeight="1">
      <c r="D326" s="67"/>
    </row>
    <row r="327" ht="14.25" customHeight="1">
      <c r="D327" s="67"/>
    </row>
    <row r="328" ht="14.25" customHeight="1">
      <c r="D328" s="67"/>
    </row>
    <row r="329" ht="14.25" customHeight="1">
      <c r="D329" s="67"/>
    </row>
    <row r="330" ht="14.25" customHeight="1">
      <c r="D330" s="67"/>
    </row>
    <row r="331" ht="14.25" customHeight="1">
      <c r="D331" s="67"/>
    </row>
    <row r="332" ht="14.25" customHeight="1">
      <c r="D332" s="67"/>
    </row>
    <row r="333" ht="14.25" customHeight="1">
      <c r="D333" s="67"/>
    </row>
    <row r="334" ht="14.25" customHeight="1">
      <c r="D334" s="67"/>
    </row>
    <row r="335" ht="14.25" customHeight="1">
      <c r="D335" s="67"/>
    </row>
    <row r="336" ht="14.25" customHeight="1">
      <c r="D336" s="67"/>
    </row>
    <row r="337" ht="14.25" customHeight="1">
      <c r="D337" s="67"/>
    </row>
    <row r="338" ht="14.25" customHeight="1">
      <c r="D338" s="67"/>
    </row>
    <row r="339" ht="14.25" customHeight="1">
      <c r="D339" s="67"/>
    </row>
    <row r="340" ht="14.25" customHeight="1">
      <c r="D340" s="67"/>
    </row>
    <row r="341" ht="14.25" customHeight="1">
      <c r="D341" s="67"/>
    </row>
    <row r="342" ht="14.25" customHeight="1">
      <c r="D342" s="67"/>
    </row>
    <row r="343" ht="14.25" customHeight="1">
      <c r="D343" s="67"/>
    </row>
    <row r="344" ht="14.25" customHeight="1">
      <c r="D344" s="67"/>
    </row>
    <row r="345" ht="14.25" customHeight="1">
      <c r="D345" s="67"/>
    </row>
    <row r="346" ht="14.25" customHeight="1">
      <c r="D346" s="67"/>
    </row>
    <row r="347" ht="14.25" customHeight="1">
      <c r="D347" s="67"/>
    </row>
    <row r="348" ht="14.25" customHeight="1">
      <c r="D348" s="67"/>
    </row>
    <row r="349" ht="14.25" customHeight="1">
      <c r="D349" s="67"/>
    </row>
    <row r="350" ht="14.25" customHeight="1">
      <c r="D350" s="67"/>
    </row>
    <row r="351" ht="14.25" customHeight="1">
      <c r="D351" s="67"/>
    </row>
    <row r="352" ht="14.25" customHeight="1">
      <c r="D352" s="67"/>
    </row>
    <row r="353" ht="14.25" customHeight="1">
      <c r="D353" s="67"/>
    </row>
    <row r="354" ht="14.25" customHeight="1">
      <c r="D354" s="67"/>
    </row>
    <row r="355" ht="14.25" customHeight="1">
      <c r="D355" s="67"/>
    </row>
    <row r="356" ht="14.25" customHeight="1">
      <c r="D356" s="67"/>
    </row>
    <row r="357" ht="14.25" customHeight="1">
      <c r="D357" s="67"/>
    </row>
    <row r="358" ht="14.25" customHeight="1">
      <c r="D358" s="67"/>
    </row>
    <row r="359" ht="14.25" customHeight="1">
      <c r="D359" s="67"/>
    </row>
    <row r="360" ht="14.25" customHeight="1">
      <c r="D360" s="67"/>
    </row>
    <row r="361" ht="14.25" customHeight="1">
      <c r="D361" s="67"/>
    </row>
    <row r="362" ht="14.25" customHeight="1">
      <c r="D362" s="67"/>
    </row>
    <row r="363" ht="14.25" customHeight="1">
      <c r="D363" s="67"/>
    </row>
    <row r="364" ht="14.25" customHeight="1">
      <c r="D364" s="67"/>
    </row>
    <row r="365" ht="14.25" customHeight="1">
      <c r="D365" s="67"/>
    </row>
    <row r="366" ht="14.25" customHeight="1">
      <c r="D366" s="67"/>
    </row>
    <row r="367" ht="14.25" customHeight="1">
      <c r="D367" s="67"/>
    </row>
    <row r="368" ht="14.25" customHeight="1">
      <c r="D368" s="67"/>
    </row>
    <row r="369" ht="14.25" customHeight="1">
      <c r="D369" s="67"/>
    </row>
    <row r="370" ht="14.25" customHeight="1">
      <c r="D370" s="67"/>
    </row>
    <row r="371" ht="14.25" customHeight="1">
      <c r="D371" s="67"/>
    </row>
    <row r="372" ht="14.25" customHeight="1">
      <c r="D372" s="67"/>
    </row>
    <row r="373" ht="14.25" customHeight="1">
      <c r="D373" s="67"/>
    </row>
    <row r="374" ht="14.25" customHeight="1">
      <c r="D374" s="67"/>
    </row>
    <row r="375" ht="14.25" customHeight="1">
      <c r="D375" s="67"/>
    </row>
    <row r="376" ht="14.25" customHeight="1">
      <c r="D376" s="67"/>
    </row>
    <row r="377" ht="14.25" customHeight="1">
      <c r="D377" s="67"/>
    </row>
    <row r="378" ht="14.25" customHeight="1">
      <c r="D378" s="67"/>
    </row>
    <row r="379" ht="14.25" customHeight="1">
      <c r="D379" s="67"/>
    </row>
    <row r="380" ht="14.25" customHeight="1">
      <c r="D380" s="67"/>
    </row>
    <row r="381" ht="14.25" customHeight="1">
      <c r="D381" s="67"/>
    </row>
    <row r="382" ht="14.25" customHeight="1">
      <c r="D382" s="67"/>
    </row>
    <row r="383" ht="14.25" customHeight="1">
      <c r="D383" s="67"/>
    </row>
    <row r="384" ht="14.25" customHeight="1">
      <c r="D384" s="67"/>
    </row>
    <row r="385" ht="14.25" customHeight="1">
      <c r="D385" s="67"/>
    </row>
    <row r="386" ht="14.25" customHeight="1">
      <c r="D386" s="67"/>
    </row>
    <row r="387" ht="14.25" customHeight="1">
      <c r="D387" s="67"/>
    </row>
    <row r="388" ht="14.25" customHeight="1">
      <c r="D388" s="67"/>
    </row>
    <row r="389" ht="14.25" customHeight="1">
      <c r="D389" s="67"/>
    </row>
    <row r="390" ht="14.25" customHeight="1">
      <c r="D390" s="67"/>
    </row>
    <row r="391" ht="14.25" customHeight="1">
      <c r="D391" s="67"/>
    </row>
    <row r="392" ht="14.25" customHeight="1">
      <c r="D392" s="67"/>
    </row>
    <row r="393" ht="14.25" customHeight="1">
      <c r="D393" s="67"/>
    </row>
    <row r="394" ht="14.25" customHeight="1">
      <c r="D394" s="67"/>
    </row>
    <row r="395" ht="14.25" customHeight="1">
      <c r="D395" s="67"/>
    </row>
    <row r="396" ht="14.25" customHeight="1">
      <c r="D396" s="67"/>
    </row>
    <row r="397" ht="14.25" customHeight="1">
      <c r="D397" s="67"/>
    </row>
    <row r="398" ht="14.25" customHeight="1">
      <c r="D398" s="67"/>
    </row>
    <row r="399" ht="14.25" customHeight="1">
      <c r="D399" s="67"/>
    </row>
    <row r="400" ht="14.25" customHeight="1">
      <c r="D400" s="67"/>
    </row>
    <row r="401" ht="14.25" customHeight="1">
      <c r="D401" s="67"/>
    </row>
    <row r="402" ht="14.25" customHeight="1">
      <c r="D402" s="67"/>
    </row>
    <row r="403" ht="14.25" customHeight="1">
      <c r="D403" s="67"/>
    </row>
    <row r="404" ht="14.25" customHeight="1">
      <c r="D404" s="67"/>
    </row>
    <row r="405" ht="14.25" customHeight="1">
      <c r="D405" s="67"/>
    </row>
    <row r="406" ht="14.25" customHeight="1">
      <c r="D406" s="67"/>
    </row>
    <row r="407" ht="14.25" customHeight="1">
      <c r="D407" s="67"/>
    </row>
    <row r="408" ht="14.25" customHeight="1">
      <c r="D408" s="67"/>
    </row>
    <row r="409" ht="14.25" customHeight="1">
      <c r="D409" s="67"/>
    </row>
    <row r="410" ht="14.25" customHeight="1">
      <c r="D410" s="67"/>
    </row>
    <row r="411" ht="14.25" customHeight="1">
      <c r="D411" s="67"/>
    </row>
    <row r="412" ht="14.25" customHeight="1">
      <c r="D412" s="67"/>
    </row>
    <row r="413" ht="14.25" customHeight="1">
      <c r="D413" s="67"/>
    </row>
    <row r="414" ht="14.25" customHeight="1">
      <c r="D414" s="67"/>
    </row>
    <row r="415" ht="14.25" customHeight="1">
      <c r="D415" s="67"/>
    </row>
    <row r="416" ht="14.25" customHeight="1">
      <c r="D416" s="67"/>
    </row>
    <row r="417" ht="14.25" customHeight="1">
      <c r="D417" s="67"/>
    </row>
    <row r="418" ht="14.25" customHeight="1">
      <c r="D418" s="67"/>
    </row>
    <row r="419" ht="14.25" customHeight="1">
      <c r="D419" s="67"/>
    </row>
    <row r="420" ht="14.25" customHeight="1">
      <c r="D420" s="67"/>
    </row>
    <row r="421" ht="14.25" customHeight="1">
      <c r="D421" s="67"/>
    </row>
    <row r="422" ht="14.25" customHeight="1">
      <c r="D422" s="67"/>
    </row>
    <row r="423" ht="14.25" customHeight="1">
      <c r="D423" s="67"/>
    </row>
    <row r="424" ht="14.25" customHeight="1">
      <c r="D424" s="67"/>
    </row>
    <row r="425" ht="14.25" customHeight="1">
      <c r="D425" s="67"/>
    </row>
    <row r="426" ht="14.25" customHeight="1">
      <c r="D426" s="67"/>
    </row>
    <row r="427" ht="14.25" customHeight="1">
      <c r="D427" s="67"/>
    </row>
    <row r="428" ht="14.25" customHeight="1">
      <c r="D428" s="67"/>
    </row>
    <row r="429" ht="14.25" customHeight="1">
      <c r="D429" s="67"/>
    </row>
    <row r="430" ht="14.25" customHeight="1">
      <c r="D430" s="67"/>
    </row>
    <row r="431" ht="14.25" customHeight="1">
      <c r="D431" s="67"/>
    </row>
    <row r="432" ht="14.25" customHeight="1">
      <c r="D432" s="67"/>
    </row>
    <row r="433" ht="14.25" customHeight="1">
      <c r="D433" s="67"/>
    </row>
    <row r="434" ht="14.25" customHeight="1">
      <c r="D434" s="67"/>
    </row>
    <row r="435" ht="14.25" customHeight="1">
      <c r="D435" s="67"/>
    </row>
    <row r="436" ht="14.25" customHeight="1">
      <c r="D436" s="67"/>
    </row>
    <row r="437" ht="14.25" customHeight="1">
      <c r="D437" s="67"/>
    </row>
    <row r="438" ht="14.25" customHeight="1">
      <c r="D438" s="67"/>
    </row>
    <row r="439" ht="14.25" customHeight="1">
      <c r="D439" s="67"/>
    </row>
    <row r="440" ht="14.25" customHeight="1">
      <c r="D440" s="67"/>
    </row>
    <row r="441" ht="14.25" customHeight="1">
      <c r="D441" s="67"/>
    </row>
    <row r="442" ht="14.25" customHeight="1">
      <c r="D442" s="67"/>
    </row>
    <row r="443" ht="14.25" customHeight="1">
      <c r="D443" s="67"/>
    </row>
    <row r="444" ht="14.25" customHeight="1">
      <c r="D444" s="67"/>
    </row>
    <row r="445" ht="14.25" customHeight="1">
      <c r="D445" s="67"/>
    </row>
    <row r="446" ht="14.25" customHeight="1">
      <c r="D446" s="67"/>
    </row>
    <row r="447" ht="14.25" customHeight="1">
      <c r="D447" s="67"/>
    </row>
    <row r="448" ht="14.25" customHeight="1">
      <c r="D448" s="67"/>
    </row>
    <row r="449" ht="14.25" customHeight="1">
      <c r="D449" s="67"/>
    </row>
    <row r="450" ht="14.25" customHeight="1">
      <c r="D450" s="67"/>
    </row>
    <row r="451" ht="14.25" customHeight="1">
      <c r="D451" s="67"/>
    </row>
    <row r="452" ht="14.25" customHeight="1">
      <c r="D452" s="67"/>
    </row>
    <row r="453" ht="14.25" customHeight="1">
      <c r="D453" s="67"/>
    </row>
    <row r="454" ht="14.25" customHeight="1">
      <c r="D454" s="67"/>
    </row>
    <row r="455" ht="14.25" customHeight="1">
      <c r="D455" s="67"/>
    </row>
    <row r="456" ht="14.25" customHeight="1">
      <c r="D456" s="67"/>
    </row>
    <row r="457" ht="14.25" customHeight="1">
      <c r="D457" s="67"/>
    </row>
    <row r="458" ht="14.25" customHeight="1">
      <c r="D458" s="67"/>
    </row>
    <row r="459" ht="14.25" customHeight="1">
      <c r="D459" s="67"/>
    </row>
    <row r="460" ht="14.25" customHeight="1">
      <c r="D460" s="67"/>
    </row>
    <row r="461" ht="14.25" customHeight="1">
      <c r="D461" s="67"/>
    </row>
    <row r="462" ht="14.25" customHeight="1">
      <c r="D462" s="67"/>
    </row>
    <row r="463" ht="14.25" customHeight="1">
      <c r="D463" s="67"/>
    </row>
    <row r="464" ht="14.25" customHeight="1">
      <c r="D464" s="67"/>
    </row>
    <row r="465" ht="14.25" customHeight="1">
      <c r="D465" s="67"/>
    </row>
    <row r="466" ht="14.25" customHeight="1">
      <c r="D466" s="67"/>
    </row>
    <row r="467" ht="14.25" customHeight="1">
      <c r="D467" s="67"/>
    </row>
    <row r="468" ht="14.25" customHeight="1">
      <c r="D468" s="67"/>
    </row>
    <row r="469" ht="14.25" customHeight="1">
      <c r="D469" s="67"/>
    </row>
    <row r="470" ht="14.25" customHeight="1">
      <c r="D470" s="67"/>
    </row>
    <row r="471" ht="14.25" customHeight="1">
      <c r="D471" s="67"/>
    </row>
    <row r="472" ht="14.25" customHeight="1">
      <c r="D472" s="67"/>
    </row>
    <row r="473" ht="14.25" customHeight="1">
      <c r="D473" s="67"/>
    </row>
    <row r="474" ht="14.25" customHeight="1">
      <c r="D474" s="67"/>
    </row>
    <row r="475" ht="14.25" customHeight="1">
      <c r="D475" s="67"/>
    </row>
    <row r="476" ht="14.25" customHeight="1">
      <c r="D476" s="67"/>
    </row>
    <row r="477" ht="14.25" customHeight="1">
      <c r="D477" s="67"/>
    </row>
    <row r="478" ht="14.25" customHeight="1">
      <c r="D478" s="67"/>
    </row>
    <row r="479" ht="14.25" customHeight="1">
      <c r="D479" s="67"/>
    </row>
    <row r="480" ht="14.25" customHeight="1">
      <c r="D480" s="67"/>
    </row>
    <row r="481" ht="14.25" customHeight="1">
      <c r="D481" s="67"/>
    </row>
    <row r="482" ht="14.25" customHeight="1">
      <c r="D482" s="67"/>
    </row>
    <row r="483" ht="14.25" customHeight="1">
      <c r="D483" s="67"/>
    </row>
    <row r="484" ht="14.25" customHeight="1">
      <c r="D484" s="67"/>
    </row>
    <row r="485" ht="14.25" customHeight="1">
      <c r="D485" s="67"/>
    </row>
    <row r="486" ht="14.25" customHeight="1">
      <c r="D486" s="67"/>
    </row>
    <row r="487" ht="14.25" customHeight="1">
      <c r="D487" s="67"/>
    </row>
    <row r="488" ht="14.25" customHeight="1">
      <c r="D488" s="67"/>
    </row>
    <row r="489" ht="14.25" customHeight="1">
      <c r="D489" s="67"/>
    </row>
    <row r="490" ht="14.25" customHeight="1">
      <c r="D490" s="67"/>
    </row>
    <row r="491" ht="14.25" customHeight="1">
      <c r="D491" s="67"/>
    </row>
    <row r="492" ht="14.25" customHeight="1">
      <c r="D492" s="67"/>
    </row>
    <row r="493" ht="14.25" customHeight="1">
      <c r="D493" s="67"/>
    </row>
    <row r="494" ht="14.25" customHeight="1">
      <c r="D494" s="67"/>
    </row>
    <row r="495" ht="14.25" customHeight="1">
      <c r="D495" s="67"/>
    </row>
    <row r="496" ht="14.25" customHeight="1">
      <c r="D496" s="67"/>
    </row>
    <row r="497" ht="14.25" customHeight="1">
      <c r="D497" s="67"/>
    </row>
    <row r="498" ht="14.25" customHeight="1">
      <c r="D498" s="67"/>
    </row>
    <row r="499" ht="14.25" customHeight="1">
      <c r="D499" s="67"/>
    </row>
    <row r="500" ht="14.25" customHeight="1">
      <c r="D500" s="67"/>
    </row>
    <row r="501" ht="14.25" customHeight="1">
      <c r="D501" s="67"/>
    </row>
    <row r="502" ht="14.25" customHeight="1">
      <c r="D502" s="67"/>
    </row>
    <row r="503" ht="14.25" customHeight="1">
      <c r="D503" s="67"/>
    </row>
    <row r="504" ht="14.25" customHeight="1">
      <c r="D504" s="67"/>
    </row>
    <row r="505" ht="14.25" customHeight="1">
      <c r="D505" s="67"/>
    </row>
    <row r="506" ht="14.25" customHeight="1">
      <c r="D506" s="67"/>
    </row>
    <row r="507" ht="14.25" customHeight="1">
      <c r="D507" s="67"/>
    </row>
    <row r="508" ht="14.25" customHeight="1">
      <c r="D508" s="67"/>
    </row>
    <row r="509" ht="14.25" customHeight="1">
      <c r="D509" s="67"/>
    </row>
    <row r="510" ht="14.25" customHeight="1">
      <c r="D510" s="67"/>
    </row>
    <row r="511" ht="14.25" customHeight="1">
      <c r="D511" s="67"/>
    </row>
    <row r="512" ht="14.25" customHeight="1">
      <c r="D512" s="67"/>
    </row>
    <row r="513" ht="14.25" customHeight="1">
      <c r="D513" s="67"/>
    </row>
    <row r="514" ht="14.25" customHeight="1">
      <c r="D514" s="67"/>
    </row>
    <row r="515" ht="14.25" customHeight="1">
      <c r="D515" s="67"/>
    </row>
    <row r="516" ht="14.25" customHeight="1">
      <c r="D516" s="67"/>
    </row>
    <row r="517" ht="14.25" customHeight="1">
      <c r="D517" s="67"/>
    </row>
    <row r="518" ht="14.25" customHeight="1">
      <c r="D518" s="67"/>
    </row>
    <row r="519" ht="14.25" customHeight="1">
      <c r="D519" s="67"/>
    </row>
    <row r="520" ht="14.25" customHeight="1">
      <c r="D520" s="67"/>
    </row>
    <row r="521" ht="14.25" customHeight="1">
      <c r="D521" s="67"/>
    </row>
    <row r="522" ht="14.25" customHeight="1">
      <c r="D522" s="67"/>
    </row>
    <row r="523" ht="14.25" customHeight="1">
      <c r="D523" s="67"/>
    </row>
    <row r="524" ht="14.25" customHeight="1">
      <c r="D524" s="67"/>
    </row>
    <row r="525" ht="14.25" customHeight="1">
      <c r="D525" s="67"/>
    </row>
    <row r="526" ht="14.25" customHeight="1">
      <c r="D526" s="67"/>
    </row>
    <row r="527" ht="14.25" customHeight="1">
      <c r="D527" s="67"/>
    </row>
    <row r="528" ht="14.25" customHeight="1">
      <c r="D528" s="67"/>
    </row>
    <row r="529" ht="14.25" customHeight="1">
      <c r="D529" s="67"/>
    </row>
    <row r="530" ht="14.25" customHeight="1">
      <c r="D530" s="67"/>
    </row>
    <row r="531" ht="14.25" customHeight="1">
      <c r="D531" s="67"/>
    </row>
    <row r="532" ht="14.25" customHeight="1">
      <c r="D532" s="67"/>
    </row>
    <row r="533" ht="14.25" customHeight="1">
      <c r="D533" s="67"/>
    </row>
    <row r="534" ht="14.25" customHeight="1">
      <c r="D534" s="67"/>
    </row>
    <row r="535" ht="14.25" customHeight="1">
      <c r="D535" s="67"/>
    </row>
    <row r="536" ht="14.25" customHeight="1">
      <c r="D536" s="67"/>
    </row>
    <row r="537" ht="14.25" customHeight="1">
      <c r="D537" s="67"/>
    </row>
    <row r="538" ht="14.25" customHeight="1">
      <c r="D538" s="67"/>
    </row>
    <row r="539" ht="14.25" customHeight="1">
      <c r="D539" s="67"/>
    </row>
    <row r="540" ht="14.25" customHeight="1">
      <c r="D540" s="67"/>
    </row>
    <row r="541" ht="14.25" customHeight="1">
      <c r="D541" s="67"/>
    </row>
    <row r="542" ht="14.25" customHeight="1">
      <c r="D542" s="67"/>
    </row>
    <row r="543" ht="14.25" customHeight="1">
      <c r="D543" s="67"/>
    </row>
    <row r="544" ht="14.25" customHeight="1">
      <c r="D544" s="67"/>
    </row>
    <row r="545" ht="14.25" customHeight="1">
      <c r="D545" s="67"/>
    </row>
    <row r="546" ht="14.25" customHeight="1">
      <c r="D546" s="67"/>
    </row>
    <row r="547" ht="14.25" customHeight="1">
      <c r="D547" s="67"/>
    </row>
    <row r="548" ht="14.25" customHeight="1">
      <c r="D548" s="67"/>
    </row>
    <row r="549" ht="14.25" customHeight="1">
      <c r="D549" s="67"/>
    </row>
    <row r="550" ht="14.25" customHeight="1">
      <c r="D550" s="67"/>
    </row>
    <row r="551" ht="14.25" customHeight="1">
      <c r="D551" s="67"/>
    </row>
    <row r="552" ht="14.25" customHeight="1">
      <c r="D552" s="67"/>
    </row>
    <row r="553" ht="14.25" customHeight="1">
      <c r="D553" s="67"/>
    </row>
    <row r="554" ht="14.25" customHeight="1">
      <c r="D554" s="67"/>
    </row>
    <row r="555" ht="14.25" customHeight="1">
      <c r="D555" s="67"/>
    </row>
    <row r="556" ht="14.25" customHeight="1">
      <c r="D556" s="67"/>
    </row>
    <row r="557" ht="14.25" customHeight="1">
      <c r="D557" s="67"/>
    </row>
    <row r="558" ht="14.25" customHeight="1">
      <c r="D558" s="67"/>
    </row>
    <row r="559" ht="14.25" customHeight="1">
      <c r="D559" s="67"/>
    </row>
    <row r="560" ht="14.25" customHeight="1">
      <c r="D560" s="67"/>
    </row>
    <row r="561" ht="14.25" customHeight="1">
      <c r="D561" s="67"/>
    </row>
    <row r="562" ht="14.25" customHeight="1">
      <c r="D562" s="67"/>
    </row>
    <row r="563" ht="14.25" customHeight="1">
      <c r="D563" s="67"/>
    </row>
    <row r="564" ht="14.25" customHeight="1">
      <c r="D564" s="67"/>
    </row>
    <row r="565" ht="14.25" customHeight="1">
      <c r="D565" s="67"/>
    </row>
    <row r="566" ht="14.25" customHeight="1">
      <c r="D566" s="67"/>
    </row>
    <row r="567" ht="14.25" customHeight="1">
      <c r="D567" s="67"/>
    </row>
    <row r="568" ht="14.25" customHeight="1">
      <c r="D568" s="67"/>
    </row>
    <row r="569" ht="14.25" customHeight="1">
      <c r="D569" s="67"/>
    </row>
    <row r="570" ht="14.25" customHeight="1">
      <c r="D570" s="67"/>
    </row>
    <row r="571" ht="14.25" customHeight="1">
      <c r="D571" s="67"/>
    </row>
    <row r="572" ht="14.25" customHeight="1">
      <c r="D572" s="67"/>
    </row>
    <row r="573" ht="14.25" customHeight="1">
      <c r="D573" s="67"/>
    </row>
    <row r="574" ht="14.25" customHeight="1">
      <c r="D574" s="67"/>
    </row>
    <row r="575" ht="14.25" customHeight="1">
      <c r="D575" s="67"/>
    </row>
    <row r="576" ht="14.25" customHeight="1">
      <c r="D576" s="67"/>
    </row>
    <row r="577" ht="14.25" customHeight="1">
      <c r="D577" s="67"/>
    </row>
    <row r="578" ht="14.25" customHeight="1">
      <c r="D578" s="67"/>
    </row>
    <row r="579" ht="14.25" customHeight="1">
      <c r="D579" s="67"/>
    </row>
    <row r="580" ht="14.25" customHeight="1">
      <c r="D580" s="67"/>
    </row>
    <row r="581" ht="14.25" customHeight="1">
      <c r="D581" s="67"/>
    </row>
    <row r="582" ht="14.25" customHeight="1">
      <c r="D582" s="67"/>
    </row>
    <row r="583" ht="14.25" customHeight="1">
      <c r="D583" s="67"/>
    </row>
    <row r="584" ht="14.25" customHeight="1">
      <c r="D584" s="67"/>
    </row>
    <row r="585" ht="14.25" customHeight="1">
      <c r="D585" s="67"/>
    </row>
    <row r="586" ht="14.25" customHeight="1">
      <c r="D586" s="67"/>
    </row>
    <row r="587" ht="14.25" customHeight="1">
      <c r="D587" s="67"/>
    </row>
    <row r="588" ht="14.25" customHeight="1">
      <c r="D588" s="67"/>
    </row>
    <row r="589" ht="14.25" customHeight="1">
      <c r="D589" s="67"/>
    </row>
    <row r="590" ht="14.25" customHeight="1">
      <c r="D590" s="67"/>
    </row>
    <row r="591" ht="14.25" customHeight="1">
      <c r="D591" s="67"/>
    </row>
    <row r="592" ht="14.25" customHeight="1">
      <c r="D592" s="67"/>
    </row>
    <row r="593" ht="14.25" customHeight="1">
      <c r="D593" s="67"/>
    </row>
    <row r="594" ht="14.25" customHeight="1">
      <c r="D594" s="67"/>
    </row>
    <row r="595" ht="14.25" customHeight="1">
      <c r="D595" s="67"/>
    </row>
    <row r="596" ht="14.25" customHeight="1">
      <c r="D596" s="67"/>
    </row>
    <row r="597" ht="14.25" customHeight="1">
      <c r="D597" s="67"/>
    </row>
    <row r="598" ht="14.25" customHeight="1">
      <c r="D598" s="67"/>
    </row>
    <row r="599" ht="14.25" customHeight="1">
      <c r="D599" s="67"/>
    </row>
    <row r="600" ht="14.25" customHeight="1">
      <c r="D600" s="67"/>
    </row>
    <row r="601" ht="14.25" customHeight="1">
      <c r="D601" s="67"/>
    </row>
    <row r="602" ht="14.25" customHeight="1">
      <c r="D602" s="67"/>
    </row>
    <row r="603" ht="14.25" customHeight="1">
      <c r="D603" s="67"/>
    </row>
    <row r="604" ht="14.25" customHeight="1">
      <c r="D604" s="67"/>
    </row>
    <row r="605" ht="14.25" customHeight="1">
      <c r="D605" s="67"/>
    </row>
    <row r="606" ht="14.25" customHeight="1">
      <c r="D606" s="67"/>
    </row>
    <row r="607" ht="14.25" customHeight="1">
      <c r="D607" s="67"/>
    </row>
    <row r="608" ht="14.25" customHeight="1">
      <c r="D608" s="67"/>
    </row>
    <row r="609" ht="14.25" customHeight="1">
      <c r="D609" s="67"/>
    </row>
    <row r="610" ht="14.25" customHeight="1">
      <c r="D610" s="67"/>
    </row>
    <row r="611" ht="14.25" customHeight="1">
      <c r="D611" s="67"/>
    </row>
    <row r="612" ht="14.25" customHeight="1">
      <c r="D612" s="67"/>
    </row>
    <row r="613" ht="14.25" customHeight="1">
      <c r="D613" s="67"/>
    </row>
    <row r="614" ht="14.25" customHeight="1">
      <c r="D614" s="67"/>
    </row>
    <row r="615" ht="14.25" customHeight="1">
      <c r="D615" s="67"/>
    </row>
    <row r="616" ht="14.25" customHeight="1">
      <c r="D616" s="67"/>
    </row>
    <row r="617" ht="14.25" customHeight="1">
      <c r="D617" s="67"/>
    </row>
    <row r="618" ht="14.25" customHeight="1">
      <c r="D618" s="67"/>
    </row>
    <row r="619" ht="14.25" customHeight="1">
      <c r="D619" s="67"/>
    </row>
    <row r="620" ht="14.25" customHeight="1">
      <c r="D620" s="67"/>
    </row>
    <row r="621" ht="14.25" customHeight="1">
      <c r="D621" s="67"/>
    </row>
    <row r="622" ht="14.25" customHeight="1">
      <c r="D622" s="67"/>
    </row>
    <row r="623" ht="14.25" customHeight="1">
      <c r="D623" s="67"/>
    </row>
    <row r="624" ht="14.25" customHeight="1">
      <c r="D624" s="67"/>
    </row>
    <row r="625" ht="14.25" customHeight="1">
      <c r="D625" s="67"/>
    </row>
    <row r="626" ht="14.25" customHeight="1">
      <c r="D626" s="67"/>
    </row>
    <row r="627" ht="14.25" customHeight="1">
      <c r="D627" s="67"/>
    </row>
    <row r="628" ht="14.25" customHeight="1">
      <c r="D628" s="67"/>
    </row>
    <row r="629" ht="14.25" customHeight="1">
      <c r="D629" s="67"/>
    </row>
    <row r="630" ht="14.25" customHeight="1">
      <c r="D630" s="67"/>
    </row>
    <row r="631" ht="14.25" customHeight="1">
      <c r="D631" s="67"/>
    </row>
    <row r="632" ht="14.25" customHeight="1">
      <c r="D632" s="67"/>
    </row>
    <row r="633" ht="14.25" customHeight="1">
      <c r="D633" s="67"/>
    </row>
    <row r="634" ht="14.25" customHeight="1">
      <c r="D634" s="67"/>
    </row>
    <row r="635" ht="14.25" customHeight="1">
      <c r="D635" s="67"/>
    </row>
    <row r="636" ht="14.25" customHeight="1">
      <c r="D636" s="67"/>
    </row>
    <row r="637" ht="14.25" customHeight="1">
      <c r="D637" s="67"/>
    </row>
    <row r="638" ht="14.25" customHeight="1">
      <c r="D638" s="67"/>
    </row>
    <row r="639" ht="14.25" customHeight="1">
      <c r="D639" s="67"/>
    </row>
    <row r="640" ht="14.25" customHeight="1">
      <c r="D640" s="67"/>
    </row>
    <row r="641" ht="14.25" customHeight="1">
      <c r="D641" s="67"/>
    </row>
    <row r="642" ht="14.25" customHeight="1">
      <c r="D642" s="67"/>
    </row>
    <row r="643" ht="14.25" customHeight="1">
      <c r="D643" s="67"/>
    </row>
    <row r="644" ht="14.25" customHeight="1">
      <c r="D644" s="67"/>
    </row>
    <row r="645" ht="14.25" customHeight="1">
      <c r="D645" s="67"/>
    </row>
    <row r="646" ht="14.25" customHeight="1">
      <c r="D646" s="67"/>
    </row>
    <row r="647" ht="14.25" customHeight="1">
      <c r="D647" s="67"/>
    </row>
    <row r="648" ht="14.25" customHeight="1">
      <c r="D648" s="67"/>
    </row>
    <row r="649" ht="14.25" customHeight="1">
      <c r="D649" s="67"/>
    </row>
    <row r="650" ht="14.25" customHeight="1">
      <c r="D650" s="67"/>
    </row>
    <row r="651" ht="14.25" customHeight="1">
      <c r="D651" s="67"/>
    </row>
    <row r="652" ht="14.25" customHeight="1">
      <c r="D652" s="67"/>
    </row>
    <row r="653" ht="14.25" customHeight="1">
      <c r="D653" s="67"/>
    </row>
    <row r="654" ht="14.25" customHeight="1">
      <c r="D654" s="67"/>
    </row>
    <row r="655" ht="14.25" customHeight="1">
      <c r="D655" s="67"/>
    </row>
    <row r="656" ht="14.25" customHeight="1">
      <c r="D656" s="67"/>
    </row>
    <row r="657" ht="14.25" customHeight="1">
      <c r="D657" s="67"/>
    </row>
    <row r="658" ht="14.25" customHeight="1">
      <c r="D658" s="67"/>
    </row>
    <row r="659" ht="14.25" customHeight="1">
      <c r="D659" s="67"/>
    </row>
    <row r="660" ht="14.25" customHeight="1">
      <c r="D660" s="67"/>
    </row>
    <row r="661" ht="14.25" customHeight="1">
      <c r="D661" s="67"/>
    </row>
    <row r="662" ht="14.25" customHeight="1">
      <c r="D662" s="67"/>
    </row>
    <row r="663" ht="14.25" customHeight="1">
      <c r="D663" s="67"/>
    </row>
    <row r="664" ht="14.25" customHeight="1">
      <c r="D664" s="67"/>
    </row>
    <row r="665" ht="14.25" customHeight="1">
      <c r="D665" s="67"/>
    </row>
    <row r="666" ht="14.25" customHeight="1">
      <c r="D666" s="67"/>
    </row>
    <row r="667" ht="14.25" customHeight="1">
      <c r="D667" s="67"/>
    </row>
    <row r="668" ht="14.25" customHeight="1">
      <c r="D668" s="67"/>
    </row>
    <row r="669" ht="14.25" customHeight="1">
      <c r="D669" s="67"/>
    </row>
    <row r="670" ht="14.25" customHeight="1">
      <c r="D670" s="67"/>
    </row>
    <row r="671" ht="14.25" customHeight="1">
      <c r="D671" s="67"/>
    </row>
    <row r="672" ht="14.25" customHeight="1">
      <c r="D672" s="67"/>
    </row>
    <row r="673" ht="14.25" customHeight="1">
      <c r="D673" s="67"/>
    </row>
    <row r="674" ht="14.25" customHeight="1">
      <c r="D674" s="67"/>
    </row>
    <row r="675" ht="14.25" customHeight="1">
      <c r="D675" s="67"/>
    </row>
    <row r="676" ht="14.25" customHeight="1">
      <c r="D676" s="67"/>
    </row>
    <row r="677" ht="14.25" customHeight="1">
      <c r="D677" s="67"/>
    </row>
    <row r="678" ht="14.25" customHeight="1">
      <c r="D678" s="67"/>
    </row>
    <row r="679" ht="14.25" customHeight="1">
      <c r="D679" s="67"/>
    </row>
    <row r="680" ht="14.25" customHeight="1">
      <c r="D680" s="67"/>
    </row>
    <row r="681" ht="14.25" customHeight="1">
      <c r="D681" s="67"/>
    </row>
    <row r="682" ht="14.25" customHeight="1">
      <c r="D682" s="67"/>
    </row>
    <row r="683" ht="14.25" customHeight="1">
      <c r="D683" s="67"/>
    </row>
    <row r="684" ht="14.25" customHeight="1">
      <c r="D684" s="67"/>
    </row>
    <row r="685" ht="14.25" customHeight="1">
      <c r="D685" s="67"/>
    </row>
    <row r="686" ht="14.25" customHeight="1">
      <c r="D686" s="67"/>
    </row>
    <row r="687" ht="14.25" customHeight="1">
      <c r="D687" s="67"/>
    </row>
    <row r="688" ht="14.25" customHeight="1">
      <c r="D688" s="67"/>
    </row>
    <row r="689" ht="14.25" customHeight="1">
      <c r="D689" s="67"/>
    </row>
    <row r="690" ht="14.25" customHeight="1">
      <c r="D690" s="67"/>
    </row>
    <row r="691" ht="14.25" customHeight="1">
      <c r="D691" s="67"/>
    </row>
    <row r="692" ht="14.25" customHeight="1">
      <c r="D692" s="67"/>
    </row>
    <row r="693" ht="14.25" customHeight="1">
      <c r="D693" s="67"/>
    </row>
    <row r="694" ht="14.25" customHeight="1">
      <c r="D694" s="67"/>
    </row>
    <row r="695" ht="14.25" customHeight="1">
      <c r="D695" s="67"/>
    </row>
    <row r="696" ht="14.25" customHeight="1">
      <c r="D696" s="67"/>
    </row>
    <row r="697" ht="14.25" customHeight="1">
      <c r="D697" s="67"/>
    </row>
    <row r="698" ht="14.25" customHeight="1">
      <c r="D698" s="67"/>
    </row>
    <row r="699" ht="14.25" customHeight="1">
      <c r="D699" s="67"/>
    </row>
    <row r="700" ht="14.25" customHeight="1">
      <c r="D700" s="67"/>
    </row>
    <row r="701" ht="14.25" customHeight="1">
      <c r="D701" s="67"/>
    </row>
    <row r="702" ht="14.25" customHeight="1">
      <c r="D702" s="67"/>
    </row>
    <row r="703" ht="14.25" customHeight="1">
      <c r="D703" s="67"/>
    </row>
    <row r="704" ht="14.25" customHeight="1">
      <c r="D704" s="67"/>
    </row>
    <row r="705" ht="14.25" customHeight="1">
      <c r="D705" s="67"/>
    </row>
    <row r="706" ht="14.25" customHeight="1">
      <c r="D706" s="67"/>
    </row>
    <row r="707" ht="14.25" customHeight="1">
      <c r="D707" s="67"/>
    </row>
    <row r="708" ht="14.25" customHeight="1">
      <c r="D708" s="67"/>
    </row>
    <row r="709" ht="14.25" customHeight="1">
      <c r="D709" s="67"/>
    </row>
    <row r="710" ht="14.25" customHeight="1">
      <c r="D710" s="67"/>
    </row>
    <row r="711" ht="14.25" customHeight="1">
      <c r="D711" s="67"/>
    </row>
    <row r="712" ht="14.25" customHeight="1">
      <c r="D712" s="67"/>
    </row>
    <row r="713" ht="14.25" customHeight="1">
      <c r="D713" s="67"/>
    </row>
    <row r="714" ht="14.25" customHeight="1">
      <c r="D714" s="67"/>
    </row>
    <row r="715" ht="14.25" customHeight="1">
      <c r="D715" s="67"/>
    </row>
    <row r="716" ht="14.25" customHeight="1">
      <c r="D716" s="67"/>
    </row>
    <row r="717" ht="14.25" customHeight="1">
      <c r="D717" s="67"/>
    </row>
    <row r="718" ht="14.25" customHeight="1">
      <c r="D718" s="67"/>
    </row>
    <row r="719" ht="14.25" customHeight="1">
      <c r="D719" s="67"/>
    </row>
    <row r="720" ht="14.25" customHeight="1">
      <c r="D720" s="67"/>
    </row>
    <row r="721" ht="14.25" customHeight="1">
      <c r="D721" s="67"/>
    </row>
    <row r="722" ht="14.25" customHeight="1">
      <c r="D722" s="67"/>
    </row>
    <row r="723" ht="14.25" customHeight="1">
      <c r="D723" s="67"/>
    </row>
    <row r="724" ht="14.25" customHeight="1">
      <c r="D724" s="67"/>
    </row>
    <row r="725" ht="14.25" customHeight="1">
      <c r="D725" s="67"/>
    </row>
    <row r="726" ht="14.25" customHeight="1">
      <c r="D726" s="67"/>
    </row>
    <row r="727" ht="14.25" customHeight="1">
      <c r="D727" s="67"/>
    </row>
    <row r="728" ht="14.25" customHeight="1">
      <c r="D728" s="67"/>
    </row>
    <row r="729" ht="14.25" customHeight="1">
      <c r="D729" s="67"/>
    </row>
    <row r="730" ht="14.25" customHeight="1">
      <c r="D730" s="67"/>
    </row>
    <row r="731" ht="14.25" customHeight="1">
      <c r="D731" s="67"/>
    </row>
    <row r="732" ht="14.25" customHeight="1">
      <c r="D732" s="67"/>
    </row>
    <row r="733" ht="14.25" customHeight="1">
      <c r="D733" s="67"/>
    </row>
    <row r="734" ht="14.25" customHeight="1">
      <c r="D734" s="67"/>
    </row>
    <row r="735" ht="14.25" customHeight="1">
      <c r="D735" s="67"/>
    </row>
    <row r="736" ht="14.25" customHeight="1">
      <c r="D736" s="67"/>
    </row>
    <row r="737" ht="14.25" customHeight="1">
      <c r="D737" s="67"/>
    </row>
    <row r="738" ht="14.25" customHeight="1">
      <c r="D738" s="67"/>
    </row>
    <row r="739" ht="14.25" customHeight="1">
      <c r="D739" s="67"/>
    </row>
    <row r="740" ht="14.25" customHeight="1">
      <c r="D740" s="67"/>
    </row>
    <row r="741" ht="14.25" customHeight="1">
      <c r="D741" s="67"/>
    </row>
    <row r="742" ht="14.25" customHeight="1">
      <c r="D742" s="67"/>
    </row>
    <row r="743" ht="14.25" customHeight="1">
      <c r="D743" s="67"/>
    </row>
    <row r="744" ht="14.25" customHeight="1">
      <c r="D744" s="67"/>
    </row>
    <row r="745" ht="14.25" customHeight="1">
      <c r="D745" s="67"/>
    </row>
    <row r="746" ht="14.25" customHeight="1">
      <c r="D746" s="67"/>
    </row>
    <row r="747" ht="14.25" customHeight="1">
      <c r="D747" s="67"/>
    </row>
    <row r="748" ht="14.25" customHeight="1">
      <c r="D748" s="67"/>
    </row>
    <row r="749" ht="14.25" customHeight="1">
      <c r="D749" s="67"/>
    </row>
    <row r="750" ht="14.25" customHeight="1">
      <c r="D750" s="67"/>
    </row>
    <row r="751" ht="14.25" customHeight="1">
      <c r="D751" s="67"/>
    </row>
    <row r="752" ht="14.25" customHeight="1">
      <c r="D752" s="67"/>
    </row>
    <row r="753" ht="14.25" customHeight="1">
      <c r="D753" s="67"/>
    </row>
    <row r="754" ht="14.25" customHeight="1">
      <c r="D754" s="67"/>
    </row>
    <row r="755" ht="14.25" customHeight="1">
      <c r="D755" s="67"/>
    </row>
    <row r="756" ht="14.25" customHeight="1">
      <c r="D756" s="67"/>
    </row>
    <row r="757" ht="14.25" customHeight="1">
      <c r="D757" s="67"/>
    </row>
    <row r="758" ht="14.25" customHeight="1">
      <c r="D758" s="67"/>
    </row>
    <row r="759" ht="14.25" customHeight="1">
      <c r="D759" s="67"/>
    </row>
    <row r="760" ht="14.25" customHeight="1">
      <c r="D760" s="67"/>
    </row>
    <row r="761" ht="14.25" customHeight="1">
      <c r="D761" s="67"/>
    </row>
    <row r="762" ht="14.25" customHeight="1">
      <c r="D762" s="67"/>
    </row>
    <row r="763" ht="14.25" customHeight="1">
      <c r="D763" s="67"/>
    </row>
    <row r="764" ht="14.25" customHeight="1">
      <c r="D764" s="67"/>
    </row>
    <row r="765" ht="14.25" customHeight="1">
      <c r="D765" s="67"/>
    </row>
    <row r="766" ht="14.25" customHeight="1">
      <c r="D766" s="67"/>
    </row>
    <row r="767" ht="14.25" customHeight="1">
      <c r="D767" s="67"/>
    </row>
    <row r="768" ht="14.25" customHeight="1">
      <c r="D768" s="67"/>
    </row>
    <row r="769" ht="14.25" customHeight="1">
      <c r="D769" s="67"/>
    </row>
    <row r="770" ht="14.25" customHeight="1">
      <c r="D770" s="67"/>
    </row>
    <row r="771" ht="14.25" customHeight="1">
      <c r="D771" s="67"/>
    </row>
    <row r="772" ht="14.25" customHeight="1">
      <c r="D772" s="67"/>
    </row>
    <row r="773" ht="14.25" customHeight="1">
      <c r="D773" s="67"/>
    </row>
    <row r="774" ht="14.25" customHeight="1">
      <c r="D774" s="67"/>
    </row>
    <row r="775" ht="14.25" customHeight="1">
      <c r="D775" s="67"/>
    </row>
    <row r="776" ht="14.25" customHeight="1">
      <c r="D776" s="67"/>
    </row>
    <row r="777" ht="14.25" customHeight="1">
      <c r="D777" s="67"/>
    </row>
    <row r="778" ht="14.25" customHeight="1">
      <c r="D778" s="67"/>
    </row>
    <row r="779" ht="14.25" customHeight="1">
      <c r="D779" s="67"/>
    </row>
    <row r="780" ht="14.25" customHeight="1">
      <c r="D780" s="67"/>
    </row>
    <row r="781" ht="14.25" customHeight="1">
      <c r="D781" s="67"/>
    </row>
    <row r="782" ht="14.25" customHeight="1">
      <c r="D782" s="67"/>
    </row>
    <row r="783" ht="14.25" customHeight="1">
      <c r="D783" s="67"/>
    </row>
    <row r="784" ht="14.25" customHeight="1">
      <c r="D784" s="67"/>
    </row>
    <row r="785" ht="14.25" customHeight="1">
      <c r="D785" s="67"/>
    </row>
    <row r="786" ht="14.25" customHeight="1">
      <c r="D786" s="67"/>
    </row>
    <row r="787" ht="14.25" customHeight="1">
      <c r="D787" s="67"/>
    </row>
    <row r="788" ht="14.25" customHeight="1">
      <c r="D788" s="67"/>
    </row>
    <row r="789" ht="14.25" customHeight="1">
      <c r="D789" s="67"/>
    </row>
    <row r="790" ht="14.25" customHeight="1">
      <c r="D790" s="67"/>
    </row>
    <row r="791" ht="14.25" customHeight="1">
      <c r="D791" s="67"/>
    </row>
    <row r="792" ht="14.25" customHeight="1">
      <c r="D792" s="67"/>
    </row>
    <row r="793" ht="14.25" customHeight="1">
      <c r="D793" s="67"/>
    </row>
    <row r="794" ht="14.25" customHeight="1">
      <c r="D794" s="67"/>
    </row>
    <row r="795" ht="14.25" customHeight="1">
      <c r="D795" s="67"/>
    </row>
    <row r="796" ht="14.25" customHeight="1">
      <c r="D796" s="67"/>
    </row>
    <row r="797" ht="14.25" customHeight="1">
      <c r="D797" s="67"/>
    </row>
    <row r="798" ht="14.25" customHeight="1">
      <c r="D798" s="67"/>
    </row>
    <row r="799" ht="14.25" customHeight="1">
      <c r="D799" s="67"/>
    </row>
    <row r="800" ht="14.25" customHeight="1">
      <c r="D800" s="67"/>
    </row>
    <row r="801" ht="14.25" customHeight="1">
      <c r="D801" s="67"/>
    </row>
    <row r="802" ht="14.25" customHeight="1">
      <c r="D802" s="67"/>
    </row>
    <row r="803" ht="14.25" customHeight="1">
      <c r="D803" s="67"/>
    </row>
    <row r="804" ht="14.25" customHeight="1">
      <c r="D804" s="67"/>
    </row>
    <row r="805" ht="14.25" customHeight="1">
      <c r="D805" s="67"/>
    </row>
    <row r="806" ht="14.25" customHeight="1">
      <c r="D806" s="67"/>
    </row>
    <row r="807" ht="14.25" customHeight="1">
      <c r="D807" s="67"/>
    </row>
    <row r="808" ht="14.25" customHeight="1">
      <c r="D808" s="67"/>
    </row>
    <row r="809" ht="14.25" customHeight="1">
      <c r="D809" s="67"/>
    </row>
    <row r="810" ht="14.25" customHeight="1">
      <c r="D810" s="67"/>
    </row>
    <row r="811" ht="14.25" customHeight="1">
      <c r="D811" s="67"/>
    </row>
    <row r="812" ht="14.25" customHeight="1">
      <c r="D812" s="67"/>
    </row>
    <row r="813" ht="14.25" customHeight="1">
      <c r="D813" s="67"/>
    </row>
    <row r="814" ht="14.25" customHeight="1">
      <c r="D814" s="67"/>
    </row>
    <row r="815" ht="14.25" customHeight="1">
      <c r="D815" s="67"/>
    </row>
    <row r="816" ht="14.25" customHeight="1">
      <c r="D816" s="67"/>
    </row>
    <row r="817" ht="14.25" customHeight="1">
      <c r="D817" s="67"/>
    </row>
    <row r="818" ht="14.25" customHeight="1">
      <c r="D818" s="67"/>
    </row>
    <row r="819" ht="14.25" customHeight="1">
      <c r="D819" s="67"/>
    </row>
    <row r="820" ht="14.25" customHeight="1">
      <c r="D820" s="67"/>
    </row>
    <row r="821" ht="14.25" customHeight="1">
      <c r="D821" s="67"/>
    </row>
    <row r="822" ht="14.25" customHeight="1">
      <c r="D822" s="67"/>
    </row>
    <row r="823" ht="14.25" customHeight="1">
      <c r="D823" s="67"/>
    </row>
    <row r="824" ht="14.25" customHeight="1">
      <c r="D824" s="67"/>
    </row>
    <row r="825" ht="14.25" customHeight="1">
      <c r="D825" s="67"/>
    </row>
    <row r="826" ht="14.25" customHeight="1">
      <c r="D826" s="67"/>
    </row>
    <row r="827" ht="14.25" customHeight="1">
      <c r="D827" s="67"/>
    </row>
    <row r="828" ht="14.25" customHeight="1">
      <c r="D828" s="67"/>
    </row>
    <row r="829" ht="14.25" customHeight="1">
      <c r="D829" s="67"/>
    </row>
    <row r="830" ht="14.25" customHeight="1">
      <c r="D830" s="67"/>
    </row>
    <row r="831" ht="14.25" customHeight="1">
      <c r="D831" s="67"/>
    </row>
    <row r="832" ht="14.25" customHeight="1">
      <c r="D832" s="67"/>
    </row>
    <row r="833" ht="14.25" customHeight="1">
      <c r="D833" s="67"/>
    </row>
    <row r="834" ht="14.25" customHeight="1">
      <c r="D834" s="67"/>
    </row>
    <row r="835" ht="14.25" customHeight="1">
      <c r="D835" s="67"/>
    </row>
    <row r="836" ht="14.25" customHeight="1">
      <c r="D836" s="67"/>
    </row>
    <row r="837" ht="14.25" customHeight="1">
      <c r="D837" s="67"/>
    </row>
    <row r="838" ht="14.25" customHeight="1">
      <c r="D838" s="67"/>
    </row>
    <row r="839" ht="14.25" customHeight="1">
      <c r="D839" s="67"/>
    </row>
    <row r="840" ht="14.25" customHeight="1">
      <c r="D840" s="67"/>
    </row>
    <row r="841" ht="14.25" customHeight="1">
      <c r="D841" s="67"/>
    </row>
    <row r="842" ht="14.25" customHeight="1">
      <c r="D842" s="67"/>
    </row>
    <row r="843" ht="14.25" customHeight="1">
      <c r="D843" s="67"/>
    </row>
    <row r="844" ht="14.25" customHeight="1">
      <c r="D844" s="67"/>
    </row>
    <row r="845" ht="14.25" customHeight="1">
      <c r="D845" s="67"/>
    </row>
    <row r="846" ht="14.25" customHeight="1">
      <c r="D846" s="67"/>
    </row>
    <row r="847" ht="14.25" customHeight="1">
      <c r="D847" s="67"/>
    </row>
    <row r="848" ht="14.25" customHeight="1">
      <c r="D848" s="67"/>
    </row>
    <row r="849" ht="14.25" customHeight="1">
      <c r="D849" s="67"/>
    </row>
    <row r="850" ht="14.25" customHeight="1">
      <c r="D850" s="67"/>
    </row>
    <row r="851" ht="14.25" customHeight="1">
      <c r="D851" s="67"/>
    </row>
    <row r="852" ht="14.25" customHeight="1">
      <c r="D852" s="67"/>
    </row>
    <row r="853" ht="14.25" customHeight="1">
      <c r="D853" s="67"/>
    </row>
    <row r="854" ht="14.25" customHeight="1">
      <c r="D854" s="67"/>
    </row>
    <row r="855" ht="14.25" customHeight="1">
      <c r="D855" s="67"/>
    </row>
    <row r="856" ht="14.25" customHeight="1">
      <c r="D856" s="67"/>
    </row>
    <row r="857" ht="14.25" customHeight="1">
      <c r="D857" s="67"/>
    </row>
    <row r="858" ht="14.25" customHeight="1">
      <c r="D858" s="67"/>
    </row>
    <row r="859" ht="14.25" customHeight="1">
      <c r="D859" s="67"/>
    </row>
    <row r="860" ht="14.25" customHeight="1">
      <c r="D860" s="67"/>
    </row>
    <row r="861" ht="14.25" customHeight="1">
      <c r="D861" s="67"/>
    </row>
    <row r="862" ht="14.25" customHeight="1">
      <c r="D862" s="67"/>
    </row>
    <row r="863" ht="14.25" customHeight="1">
      <c r="D863" s="67"/>
    </row>
    <row r="864" ht="14.25" customHeight="1">
      <c r="D864" s="67"/>
    </row>
    <row r="865" ht="14.25" customHeight="1">
      <c r="D865" s="67"/>
    </row>
    <row r="866" ht="14.25" customHeight="1">
      <c r="D866" s="67"/>
    </row>
    <row r="867" ht="14.25" customHeight="1">
      <c r="D867" s="67"/>
    </row>
    <row r="868" ht="14.25" customHeight="1">
      <c r="D868" s="67"/>
    </row>
    <row r="869" ht="14.25" customHeight="1">
      <c r="D869" s="67"/>
    </row>
    <row r="870" ht="14.25" customHeight="1">
      <c r="D870" s="67"/>
    </row>
    <row r="871" ht="14.25" customHeight="1">
      <c r="D871" s="67"/>
    </row>
    <row r="872" ht="14.25" customHeight="1">
      <c r="D872" s="67"/>
    </row>
    <row r="873" ht="14.25" customHeight="1">
      <c r="D873" s="67"/>
    </row>
    <row r="874" ht="14.25" customHeight="1">
      <c r="D874" s="67"/>
    </row>
    <row r="875" ht="14.25" customHeight="1">
      <c r="D875" s="67"/>
    </row>
    <row r="876" ht="14.25" customHeight="1">
      <c r="D876" s="67"/>
    </row>
    <row r="877" ht="14.25" customHeight="1">
      <c r="D877" s="67"/>
    </row>
    <row r="878" ht="14.25" customHeight="1">
      <c r="D878" s="67"/>
    </row>
    <row r="879" ht="14.25" customHeight="1">
      <c r="D879" s="67"/>
    </row>
    <row r="880" ht="14.25" customHeight="1">
      <c r="D880" s="67"/>
    </row>
    <row r="881" ht="14.25" customHeight="1">
      <c r="D881" s="67"/>
    </row>
    <row r="882" ht="14.25" customHeight="1">
      <c r="D882" s="67"/>
    </row>
    <row r="883" ht="14.25" customHeight="1">
      <c r="D883" s="67"/>
    </row>
    <row r="884" ht="14.25" customHeight="1">
      <c r="D884" s="67"/>
    </row>
    <row r="885" ht="14.25" customHeight="1">
      <c r="D885" s="67"/>
    </row>
    <row r="886" ht="14.25" customHeight="1">
      <c r="D886" s="67"/>
    </row>
    <row r="887" ht="14.25" customHeight="1">
      <c r="D887" s="67"/>
    </row>
    <row r="888" ht="14.25" customHeight="1">
      <c r="D888" s="67"/>
    </row>
    <row r="889" ht="14.25" customHeight="1">
      <c r="D889" s="67"/>
    </row>
    <row r="890" ht="14.25" customHeight="1">
      <c r="D890" s="67"/>
    </row>
    <row r="891" ht="14.25" customHeight="1">
      <c r="D891" s="67"/>
    </row>
    <row r="892" ht="14.25" customHeight="1">
      <c r="D892" s="67"/>
    </row>
    <row r="893" ht="14.25" customHeight="1">
      <c r="D893" s="67"/>
    </row>
    <row r="894" ht="14.25" customHeight="1">
      <c r="D894" s="67"/>
    </row>
    <row r="895" ht="14.25" customHeight="1">
      <c r="D895" s="67"/>
    </row>
    <row r="896" ht="14.25" customHeight="1">
      <c r="D896" s="67"/>
    </row>
    <row r="897" ht="14.25" customHeight="1">
      <c r="D897" s="67"/>
    </row>
    <row r="898" ht="14.25" customHeight="1">
      <c r="D898" s="67"/>
    </row>
    <row r="899" ht="14.25" customHeight="1">
      <c r="D899" s="67"/>
    </row>
    <row r="900" ht="14.25" customHeight="1">
      <c r="D900" s="67"/>
    </row>
    <row r="901" ht="14.25" customHeight="1">
      <c r="D901" s="67"/>
    </row>
    <row r="902" ht="14.25" customHeight="1">
      <c r="D902" s="67"/>
    </row>
    <row r="903" ht="14.25" customHeight="1">
      <c r="D903" s="67"/>
    </row>
    <row r="904" ht="14.25" customHeight="1">
      <c r="D904" s="67"/>
    </row>
    <row r="905" ht="14.25" customHeight="1">
      <c r="D905" s="67"/>
    </row>
    <row r="906" ht="14.25" customHeight="1">
      <c r="D906" s="67"/>
    </row>
    <row r="907" ht="14.25" customHeight="1">
      <c r="D907" s="67"/>
    </row>
    <row r="908" ht="14.25" customHeight="1">
      <c r="D908" s="67"/>
    </row>
    <row r="909" ht="14.25" customHeight="1">
      <c r="D909" s="67"/>
    </row>
    <row r="910" ht="14.25" customHeight="1">
      <c r="D910" s="67"/>
    </row>
    <row r="911" ht="14.25" customHeight="1">
      <c r="D911" s="67"/>
    </row>
    <row r="912" ht="14.25" customHeight="1">
      <c r="D912" s="67"/>
    </row>
    <row r="913" ht="14.25" customHeight="1">
      <c r="D913" s="67"/>
    </row>
    <row r="914" ht="14.25" customHeight="1">
      <c r="D914" s="67"/>
    </row>
    <row r="915" ht="14.25" customHeight="1">
      <c r="D915" s="67"/>
    </row>
    <row r="916" ht="14.25" customHeight="1">
      <c r="D916" s="67"/>
    </row>
    <row r="917" ht="14.25" customHeight="1">
      <c r="D917" s="67"/>
    </row>
    <row r="918" ht="14.25" customHeight="1">
      <c r="D918" s="67"/>
    </row>
    <row r="919" ht="14.25" customHeight="1">
      <c r="D919" s="67"/>
    </row>
    <row r="920" ht="14.25" customHeight="1">
      <c r="D920" s="67"/>
    </row>
    <row r="921" ht="14.25" customHeight="1">
      <c r="D921" s="67"/>
    </row>
    <row r="922" ht="14.25" customHeight="1">
      <c r="D922" s="67"/>
    </row>
    <row r="923" ht="14.25" customHeight="1">
      <c r="D923" s="67"/>
    </row>
    <row r="924" ht="14.25" customHeight="1">
      <c r="D924" s="67"/>
    </row>
    <row r="925" ht="14.25" customHeight="1">
      <c r="D925" s="67"/>
    </row>
    <row r="926" ht="14.25" customHeight="1">
      <c r="D926" s="67"/>
    </row>
    <row r="927" ht="14.25" customHeight="1">
      <c r="D927" s="67"/>
    </row>
    <row r="928" ht="14.25" customHeight="1">
      <c r="D928" s="67"/>
    </row>
    <row r="929" ht="14.25" customHeight="1">
      <c r="D929" s="67"/>
    </row>
    <row r="930" ht="14.25" customHeight="1">
      <c r="D930" s="67"/>
    </row>
    <row r="931" ht="14.25" customHeight="1">
      <c r="D931" s="67"/>
    </row>
    <row r="932" ht="14.25" customHeight="1">
      <c r="D932" s="67"/>
    </row>
    <row r="933" ht="14.25" customHeight="1">
      <c r="D933" s="67"/>
    </row>
    <row r="934" ht="14.25" customHeight="1">
      <c r="D934" s="67"/>
    </row>
    <row r="935" ht="14.25" customHeight="1">
      <c r="D935" s="67"/>
    </row>
    <row r="936" ht="14.25" customHeight="1">
      <c r="D936" s="67"/>
    </row>
    <row r="937" ht="14.25" customHeight="1">
      <c r="D937" s="67"/>
    </row>
    <row r="938" ht="14.25" customHeight="1">
      <c r="D938" s="67"/>
    </row>
    <row r="939" ht="14.25" customHeight="1">
      <c r="D939" s="67"/>
    </row>
    <row r="940" ht="14.25" customHeight="1">
      <c r="D940" s="67"/>
    </row>
    <row r="941" ht="14.25" customHeight="1">
      <c r="D941" s="67"/>
    </row>
    <row r="942" ht="14.25" customHeight="1">
      <c r="D942" s="67"/>
    </row>
    <row r="943" ht="14.25" customHeight="1">
      <c r="D943" s="67"/>
    </row>
    <row r="944" ht="14.25" customHeight="1">
      <c r="D944" s="67"/>
    </row>
    <row r="945" ht="14.25" customHeight="1">
      <c r="D945" s="67"/>
    </row>
    <row r="946" ht="14.25" customHeight="1">
      <c r="D946" s="67"/>
    </row>
    <row r="947" ht="14.25" customHeight="1">
      <c r="D947" s="67"/>
    </row>
    <row r="948" ht="14.25" customHeight="1">
      <c r="D948" s="67"/>
    </row>
    <row r="949" ht="14.25" customHeight="1">
      <c r="D949" s="67"/>
    </row>
    <row r="950" ht="14.25" customHeight="1">
      <c r="D950" s="67"/>
    </row>
    <row r="951" ht="14.25" customHeight="1">
      <c r="D951" s="67"/>
    </row>
    <row r="952" ht="14.25" customHeight="1">
      <c r="D952" s="67"/>
    </row>
    <row r="953" ht="14.25" customHeight="1">
      <c r="D953" s="67"/>
    </row>
    <row r="954" ht="14.25" customHeight="1">
      <c r="D954" s="67"/>
    </row>
    <row r="955" ht="14.25" customHeight="1">
      <c r="D955" s="67"/>
    </row>
    <row r="956" ht="14.25" customHeight="1">
      <c r="D956" s="67"/>
    </row>
    <row r="957" ht="14.25" customHeight="1">
      <c r="D957" s="67"/>
    </row>
    <row r="958" ht="14.25" customHeight="1">
      <c r="D958" s="67"/>
    </row>
    <row r="959" ht="14.25" customHeight="1">
      <c r="D959" s="67"/>
    </row>
    <row r="960" ht="14.25" customHeight="1">
      <c r="D960" s="67"/>
    </row>
    <row r="961" ht="14.25" customHeight="1">
      <c r="D961" s="67"/>
    </row>
    <row r="962" ht="14.25" customHeight="1">
      <c r="D962" s="67"/>
    </row>
    <row r="963" ht="14.25" customHeight="1">
      <c r="D963" s="67"/>
    </row>
    <row r="964" ht="14.25" customHeight="1">
      <c r="D964" s="67"/>
    </row>
    <row r="965" ht="14.25" customHeight="1">
      <c r="D965" s="67"/>
    </row>
    <row r="966" ht="14.25" customHeight="1">
      <c r="D966" s="67"/>
    </row>
    <row r="967" ht="14.25" customHeight="1">
      <c r="D967" s="67"/>
    </row>
    <row r="968" ht="14.25" customHeight="1">
      <c r="D968" s="67"/>
    </row>
    <row r="969" ht="14.25" customHeight="1">
      <c r="D969" s="67"/>
    </row>
    <row r="970" ht="14.25" customHeight="1">
      <c r="D970" s="67"/>
    </row>
    <row r="971" ht="14.25" customHeight="1">
      <c r="D971" s="67"/>
    </row>
    <row r="972" ht="14.25" customHeight="1">
      <c r="D972" s="67"/>
    </row>
    <row r="973" ht="14.25" customHeight="1">
      <c r="D973" s="67"/>
    </row>
    <row r="974" ht="14.25" customHeight="1">
      <c r="D974" s="67"/>
    </row>
    <row r="975" ht="14.25" customHeight="1">
      <c r="D975" s="67"/>
    </row>
    <row r="976" ht="14.25" customHeight="1">
      <c r="D976" s="67"/>
    </row>
    <row r="977" ht="14.25" customHeight="1">
      <c r="D977" s="67"/>
    </row>
    <row r="978" ht="14.25" customHeight="1">
      <c r="D978" s="67"/>
    </row>
    <row r="979" ht="14.25" customHeight="1">
      <c r="D979" s="67"/>
    </row>
    <row r="980" ht="14.25" customHeight="1">
      <c r="D980" s="67"/>
    </row>
    <row r="981" ht="14.25" customHeight="1">
      <c r="D981" s="67"/>
    </row>
    <row r="982" ht="14.25" customHeight="1">
      <c r="D982" s="67"/>
    </row>
    <row r="983" ht="14.25" customHeight="1">
      <c r="D983" s="67"/>
    </row>
    <row r="984" ht="14.25" customHeight="1">
      <c r="D984" s="67"/>
    </row>
    <row r="985" ht="14.25" customHeight="1">
      <c r="D985" s="67"/>
    </row>
    <row r="986" ht="14.25" customHeight="1">
      <c r="D986" s="67"/>
    </row>
    <row r="987" ht="14.25" customHeight="1">
      <c r="D987" s="67"/>
    </row>
    <row r="988" ht="14.25" customHeight="1">
      <c r="D988" s="67"/>
    </row>
    <row r="989" ht="14.25" customHeight="1">
      <c r="D989" s="67"/>
    </row>
    <row r="990" ht="14.25" customHeight="1">
      <c r="D990" s="67"/>
    </row>
    <row r="991" ht="14.25" customHeight="1">
      <c r="D991" s="67"/>
    </row>
    <row r="992" ht="14.25" customHeight="1">
      <c r="D992" s="67"/>
    </row>
    <row r="993" ht="14.25" customHeight="1">
      <c r="D993" s="67"/>
    </row>
    <row r="994" ht="14.25" customHeight="1">
      <c r="D994" s="67"/>
    </row>
    <row r="995" ht="14.25" customHeight="1">
      <c r="D995" s="67"/>
    </row>
    <row r="996" ht="14.25" customHeight="1">
      <c r="D996" s="67"/>
    </row>
    <row r="997" ht="14.25" customHeight="1">
      <c r="D997" s="67"/>
    </row>
    <row r="998" ht="14.25" customHeight="1">
      <c r="D998" s="67"/>
    </row>
    <row r="999" ht="14.25" customHeight="1">
      <c r="D999" s="67"/>
    </row>
    <row r="1000" ht="14.25" customHeight="1">
      <c r="D1000" s="67"/>
    </row>
  </sheetData>
  <mergeCells count="13">
    <mergeCell ref="S17:T17"/>
    <mergeCell ref="S30:W30"/>
    <mergeCell ref="S34:T34"/>
    <mergeCell ref="S47:W47"/>
    <mergeCell ref="S55:T55"/>
    <mergeCell ref="S68:W68"/>
    <mergeCell ref="A1:D1"/>
    <mergeCell ref="F1:I1"/>
    <mergeCell ref="L1:M1"/>
    <mergeCell ref="P1:Q1"/>
    <mergeCell ref="S1:T1"/>
    <mergeCell ref="V1:W1"/>
    <mergeCell ref="S14:W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14"/>
    <col customWidth="1" min="2" max="2" width="12.86"/>
    <col customWidth="1" min="3" max="3" width="13.86"/>
    <col customWidth="1" min="4" max="4" width="12.43"/>
    <col customWidth="1" min="5" max="5" width="11.86"/>
    <col customWidth="1" min="6" max="6" width="9.57"/>
    <col customWidth="1" min="7" max="7" width="12.86"/>
    <col customWidth="1" min="8" max="8" width="14.57"/>
    <col customWidth="1" min="9" max="9" width="15.14"/>
    <col customWidth="1" min="10" max="10" width="3.43"/>
    <col customWidth="1" min="11" max="11" width="8.57"/>
    <col customWidth="1" min="12" max="12" width="12.86"/>
    <col customWidth="1" min="13" max="13" width="14.57"/>
    <col customWidth="1" min="14" max="14" width="17.14"/>
    <col customWidth="1" min="15" max="15" width="2.57"/>
    <col customWidth="1" min="16" max="16" width="7.43"/>
    <col customWidth="1" min="17" max="17" width="12.86"/>
    <col customWidth="1" min="18" max="18" width="14.57"/>
    <col customWidth="1" min="19" max="19" width="22.71"/>
    <col customWidth="1" min="20" max="20" width="2.57"/>
    <col customWidth="1" min="21" max="21" width="9.43"/>
    <col customWidth="1" min="22" max="22" width="11.14"/>
    <col customWidth="1" min="23" max="23" width="13.57"/>
    <col customWidth="1" min="24" max="24" width="18.57"/>
    <col customWidth="1" min="25" max="33" width="8.57"/>
  </cols>
  <sheetData>
    <row r="1" ht="24.0" customHeight="1">
      <c r="A1" s="95" t="s">
        <v>65</v>
      </c>
      <c r="B1" s="2"/>
      <c r="C1" s="2"/>
      <c r="D1" s="3"/>
    </row>
    <row r="2" ht="14.25" customHeight="1"/>
    <row r="3" ht="14.25" customHeight="1">
      <c r="A3" s="1" t="s">
        <v>66</v>
      </c>
      <c r="B3" s="2"/>
      <c r="C3" s="3"/>
    </row>
    <row r="4" ht="14.25" customHeight="1">
      <c r="A4" s="96" t="s">
        <v>67</v>
      </c>
      <c r="B4" s="96" t="s">
        <v>69</v>
      </c>
      <c r="C4" s="96" t="s">
        <v>70</v>
      </c>
      <c r="D4" s="96" t="s">
        <v>71</v>
      </c>
      <c r="E4" s="96" t="s">
        <v>72</v>
      </c>
      <c r="F4" s="96" t="s">
        <v>73</v>
      </c>
      <c r="G4" s="96" t="s">
        <v>74</v>
      </c>
    </row>
    <row r="5" ht="14.25" customHeight="1">
      <c r="A5" s="13" t="s">
        <v>75</v>
      </c>
      <c r="B5" s="14">
        <v>378.0</v>
      </c>
      <c r="C5" s="14">
        <v>370.0</v>
      </c>
      <c r="D5" s="14"/>
      <c r="E5" s="14"/>
      <c r="F5" s="14"/>
      <c r="G5" s="14">
        <f t="shared" ref="G5:G7" si="1">SUMPRODUCT(B5:E5)</f>
        <v>748</v>
      </c>
    </row>
    <row r="6" ht="13.5" customHeight="1">
      <c r="A6" s="15" t="s">
        <v>77</v>
      </c>
      <c r="B6" s="22">
        <v>59.0</v>
      </c>
      <c r="C6" s="22">
        <v>89.0</v>
      </c>
      <c r="D6" s="22"/>
      <c r="E6" s="22"/>
      <c r="F6" s="22"/>
      <c r="G6" s="14">
        <f t="shared" si="1"/>
        <v>148</v>
      </c>
    </row>
    <row r="7" ht="13.5" customHeight="1">
      <c r="A7" s="15" t="s">
        <v>79</v>
      </c>
      <c r="B7" s="22">
        <v>94.0</v>
      </c>
      <c r="C7" s="22">
        <v>65.0</v>
      </c>
      <c r="D7" s="22"/>
      <c r="E7" s="22"/>
      <c r="F7" s="22"/>
      <c r="G7" s="14">
        <f t="shared" si="1"/>
        <v>159</v>
      </c>
    </row>
    <row r="8" ht="14.25" customHeight="1"/>
    <row r="9" ht="39.0" customHeight="1">
      <c r="A9" s="98" t="s">
        <v>80</v>
      </c>
      <c r="B9" s="99">
        <f>IFERROR(B6/B5,0)</f>
        <v>0.1560846561</v>
      </c>
      <c r="C9" s="99">
        <f>IFERROR(G6/G5,0)</f>
        <v>0.1978609626</v>
      </c>
    </row>
    <row r="10" ht="14.25" customHeight="1"/>
    <row r="11" ht="14.25" customHeight="1"/>
    <row r="12" ht="14.25" customHeight="1">
      <c r="A12" s="98" t="s">
        <v>81</v>
      </c>
      <c r="B12" s="99">
        <f>IFERROR(B7/B5,0)</f>
        <v>0.2486772487</v>
      </c>
      <c r="C12" s="99">
        <f>IFERROR(G7/G5,0)</f>
        <v>0.2125668449</v>
      </c>
    </row>
    <row r="13" ht="14.25" customHeight="1"/>
    <row r="14" ht="14.25" customHeight="1"/>
    <row r="15" ht="14.25" customHeight="1"/>
    <row r="16" ht="14.25" customHeight="1">
      <c r="A16" s="1" t="s">
        <v>84</v>
      </c>
      <c r="B16" s="2"/>
      <c r="C16" s="2"/>
      <c r="D16" s="3"/>
      <c r="F16" s="1" t="s">
        <v>86</v>
      </c>
      <c r="G16" s="2"/>
      <c r="H16" s="2"/>
      <c r="I16" s="3"/>
      <c r="K16" s="1" t="s">
        <v>87</v>
      </c>
      <c r="L16" s="2"/>
      <c r="M16" s="2"/>
      <c r="N16" s="3"/>
      <c r="P16" s="1" t="s">
        <v>89</v>
      </c>
      <c r="Q16" s="2"/>
      <c r="R16" s="2"/>
      <c r="S16" s="3"/>
      <c r="U16" s="36" t="s">
        <v>90</v>
      </c>
      <c r="V16" s="37"/>
      <c r="W16" s="37"/>
      <c r="X16" s="28"/>
    </row>
    <row r="17" ht="14.25" customHeight="1">
      <c r="A17" s="11" t="s">
        <v>15</v>
      </c>
      <c r="B17" s="11" t="s">
        <v>91</v>
      </c>
      <c r="C17" s="11" t="s">
        <v>19</v>
      </c>
      <c r="D17" s="11" t="s">
        <v>20</v>
      </c>
      <c r="F17" s="11" t="s">
        <v>15</v>
      </c>
      <c r="G17" s="11" t="s">
        <v>91</v>
      </c>
      <c r="H17" s="11" t="s">
        <v>19</v>
      </c>
      <c r="I17" s="11" t="s">
        <v>20</v>
      </c>
      <c r="K17" s="11" t="s">
        <v>15</v>
      </c>
      <c r="L17" s="11" t="s">
        <v>91</v>
      </c>
      <c r="M17" s="11" t="s">
        <v>19</v>
      </c>
      <c r="N17" s="11" t="s">
        <v>20</v>
      </c>
      <c r="P17" s="11" t="s">
        <v>15</v>
      </c>
      <c r="Q17" s="11" t="s">
        <v>91</v>
      </c>
      <c r="R17" s="11" t="s">
        <v>19</v>
      </c>
      <c r="S17" s="11" t="s">
        <v>20</v>
      </c>
      <c r="U17" s="11" t="s">
        <v>15</v>
      </c>
      <c r="V17" s="11" t="s">
        <v>91</v>
      </c>
      <c r="W17" s="11" t="s">
        <v>19</v>
      </c>
      <c r="X17" s="11" t="s">
        <v>20</v>
      </c>
    </row>
    <row r="18" ht="14.25" customHeight="1">
      <c r="A18" s="13">
        <v>30.0</v>
      </c>
      <c r="B18" s="102">
        <v>4861.0</v>
      </c>
      <c r="C18" s="102">
        <v>1889.0</v>
      </c>
      <c r="D18" s="102">
        <v>329.0</v>
      </c>
      <c r="F18" s="13">
        <v>6.0</v>
      </c>
      <c r="G18" s="14">
        <v>1033.0</v>
      </c>
      <c r="H18" s="14">
        <v>572.0</v>
      </c>
      <c r="I18" s="14">
        <v>13.0</v>
      </c>
      <c r="K18" s="13">
        <v>13.0</v>
      </c>
      <c r="L18" s="14"/>
      <c r="M18" s="14"/>
      <c r="N18" s="14"/>
      <c r="P18" s="13">
        <v>20.0</v>
      </c>
      <c r="Q18" s="14"/>
      <c r="R18" s="14"/>
      <c r="S18" s="14"/>
      <c r="U18" s="13">
        <v>27.0</v>
      </c>
      <c r="V18" s="14"/>
      <c r="W18" s="14"/>
      <c r="X18" s="14"/>
    </row>
    <row r="19" ht="14.25" customHeight="1">
      <c r="A19" s="13">
        <v>31.0</v>
      </c>
      <c r="B19" s="102">
        <v>5987.0</v>
      </c>
      <c r="C19" s="102">
        <v>2448.0</v>
      </c>
      <c r="D19" s="102">
        <v>236.0</v>
      </c>
      <c r="F19" s="13">
        <v>7.0</v>
      </c>
      <c r="G19" s="14">
        <v>1282.0</v>
      </c>
      <c r="H19" s="14">
        <v>721.0</v>
      </c>
      <c r="I19" s="14">
        <v>24.0</v>
      </c>
      <c r="K19" s="13">
        <v>14.0</v>
      </c>
      <c r="L19" s="14"/>
      <c r="M19" s="14"/>
      <c r="N19" s="14"/>
      <c r="P19" s="13">
        <v>21.0</v>
      </c>
      <c r="Q19" s="14"/>
      <c r="R19" s="14"/>
      <c r="S19" s="14"/>
      <c r="U19" s="13">
        <v>28.0</v>
      </c>
      <c r="V19" s="14"/>
      <c r="W19" s="14"/>
      <c r="X19" s="14"/>
    </row>
    <row r="20" ht="14.25" customHeight="1">
      <c r="A20" s="13">
        <v>1.0</v>
      </c>
      <c r="B20" s="102">
        <v>6062.0</v>
      </c>
      <c r="C20" s="102">
        <v>2303.0</v>
      </c>
      <c r="D20" s="102">
        <v>207.0</v>
      </c>
      <c r="F20" s="13">
        <v>8.0</v>
      </c>
      <c r="G20" s="14">
        <v>1495.0</v>
      </c>
      <c r="H20" s="14">
        <v>841.0</v>
      </c>
      <c r="I20" s="14">
        <v>16.0</v>
      </c>
      <c r="K20" s="13">
        <v>15.0</v>
      </c>
      <c r="L20" s="14"/>
      <c r="M20" s="14"/>
      <c r="N20" s="14"/>
      <c r="P20" s="13">
        <v>22.0</v>
      </c>
      <c r="Q20" s="14"/>
      <c r="R20" s="14"/>
      <c r="S20" s="14"/>
      <c r="U20" s="13">
        <v>29.0</v>
      </c>
      <c r="V20" s="14"/>
      <c r="W20" s="14"/>
      <c r="X20" s="14"/>
    </row>
    <row r="21" ht="14.25" customHeight="1">
      <c r="A21" s="13">
        <v>2.0</v>
      </c>
      <c r="B21" s="14">
        <v>475.0</v>
      </c>
      <c r="C21" s="14">
        <v>289.0</v>
      </c>
      <c r="D21" s="14">
        <v>6.0</v>
      </c>
      <c r="F21" s="13">
        <v>9.0</v>
      </c>
      <c r="G21" s="14">
        <v>1557.0</v>
      </c>
      <c r="H21" s="14">
        <v>972.0</v>
      </c>
      <c r="I21" s="14">
        <v>21.0</v>
      </c>
      <c r="K21" s="13">
        <v>16.0</v>
      </c>
      <c r="L21" s="14"/>
      <c r="M21" s="14"/>
      <c r="N21" s="14"/>
      <c r="P21" s="13">
        <v>23.0</v>
      </c>
      <c r="Q21" s="14"/>
      <c r="R21" s="14"/>
      <c r="S21" s="14"/>
      <c r="U21" s="13">
        <v>30.0</v>
      </c>
      <c r="V21" s="14"/>
      <c r="W21" s="14"/>
      <c r="X21" s="14"/>
    </row>
    <row r="22" ht="14.25" customHeight="1">
      <c r="A22" s="13">
        <v>3.0</v>
      </c>
      <c r="B22" s="14">
        <v>682.0</v>
      </c>
      <c r="C22" s="14">
        <v>420.0</v>
      </c>
      <c r="D22" s="14">
        <v>7.0</v>
      </c>
      <c r="F22" s="13">
        <v>10.0</v>
      </c>
      <c r="G22" s="14">
        <v>1511.0</v>
      </c>
      <c r="H22" s="14">
        <v>1079.0</v>
      </c>
      <c r="I22" s="14">
        <v>31.0</v>
      </c>
      <c r="K22" s="13">
        <v>17.0</v>
      </c>
      <c r="L22" s="14"/>
      <c r="M22" s="14"/>
      <c r="N22" s="14"/>
      <c r="P22" s="13">
        <v>24.0</v>
      </c>
      <c r="Q22" s="14"/>
      <c r="R22" s="14"/>
      <c r="S22" s="14"/>
      <c r="U22" s="13">
        <v>1.0</v>
      </c>
      <c r="V22" s="14"/>
      <c r="W22" s="14"/>
      <c r="X22" s="14"/>
    </row>
    <row r="23" ht="14.25" customHeight="1">
      <c r="A23" s="13">
        <v>4.0</v>
      </c>
      <c r="B23" s="14">
        <v>1393.0</v>
      </c>
      <c r="C23" s="14">
        <v>762.0</v>
      </c>
      <c r="D23" s="14">
        <v>24.0</v>
      </c>
      <c r="F23" s="13">
        <v>11.0</v>
      </c>
      <c r="G23" s="14">
        <v>1326.0</v>
      </c>
      <c r="H23" s="14">
        <v>929.0</v>
      </c>
      <c r="I23" s="14">
        <v>25.0</v>
      </c>
      <c r="K23" s="13">
        <v>18.0</v>
      </c>
      <c r="L23" s="14"/>
      <c r="M23" s="14"/>
      <c r="N23" s="14"/>
      <c r="P23" s="13">
        <v>25.0</v>
      </c>
      <c r="Q23" s="14"/>
      <c r="R23" s="14"/>
      <c r="S23" s="14"/>
      <c r="U23" s="13">
        <v>2.0</v>
      </c>
      <c r="V23" s="14"/>
      <c r="W23" s="14"/>
      <c r="X23" s="14"/>
    </row>
    <row r="24" ht="14.25" customHeight="1">
      <c r="A24" s="13">
        <v>5.0</v>
      </c>
      <c r="B24" s="106">
        <v>1012.0</v>
      </c>
      <c r="C24" s="106">
        <v>554.0</v>
      </c>
      <c r="D24" s="106">
        <v>13.0</v>
      </c>
      <c r="F24" s="13">
        <v>12.0</v>
      </c>
      <c r="G24" s="14">
        <v>1008.0</v>
      </c>
      <c r="H24" s="14">
        <v>746.0</v>
      </c>
      <c r="I24" s="14">
        <v>31.0</v>
      </c>
      <c r="K24" s="13">
        <v>19.0</v>
      </c>
      <c r="L24" s="14"/>
      <c r="M24" s="14"/>
      <c r="N24" s="14"/>
      <c r="P24" s="13">
        <v>26.0</v>
      </c>
      <c r="Q24" s="14"/>
      <c r="R24" s="14"/>
      <c r="S24" s="14"/>
      <c r="U24" s="13">
        <v>3.0</v>
      </c>
      <c r="V24" s="14"/>
      <c r="W24" s="14"/>
      <c r="X24" s="14"/>
    </row>
    <row r="25" ht="13.5" customHeight="1">
      <c r="B25" s="108">
        <f t="shared" ref="B25:D25" si="2">SUMPRODUCT(B18:B24)</f>
        <v>20472</v>
      </c>
      <c r="C25" s="108">
        <f t="shared" si="2"/>
        <v>8665</v>
      </c>
      <c r="D25" s="108">
        <f t="shared" si="2"/>
        <v>822</v>
      </c>
      <c r="G25" s="108">
        <f t="shared" ref="G25:I25" si="3">SUMPRODUCT(G18:G24)</f>
        <v>9212</v>
      </c>
      <c r="H25" s="108">
        <f t="shared" si="3"/>
        <v>5860</v>
      </c>
      <c r="I25" s="108">
        <f t="shared" si="3"/>
        <v>161</v>
      </c>
      <c r="L25" s="108">
        <f t="shared" ref="L25:N25" si="4">SUMPRODUCT(L18:L24)</f>
        <v>0</v>
      </c>
      <c r="M25" s="108">
        <f t="shared" si="4"/>
        <v>0</v>
      </c>
      <c r="N25" s="108">
        <f t="shared" si="4"/>
        <v>0</v>
      </c>
      <c r="Q25" s="108">
        <f t="shared" ref="Q25:S25" si="5">SUMPRODUCT(Q18:Q24)</f>
        <v>0</v>
      </c>
      <c r="R25" s="108">
        <f t="shared" si="5"/>
        <v>0</v>
      </c>
      <c r="S25" s="108">
        <f t="shared" si="5"/>
        <v>0</v>
      </c>
      <c r="V25" s="108">
        <f t="shared" ref="V25:X25" si="6">SUMPRODUCT(V18:V24)</f>
        <v>0</v>
      </c>
      <c r="W25" s="108">
        <f t="shared" si="6"/>
        <v>0</v>
      </c>
      <c r="X25" s="108">
        <f t="shared" si="6"/>
        <v>0</v>
      </c>
    </row>
    <row r="26" ht="14.25" customHeight="1"/>
    <row r="27" ht="14.25" customHeight="1">
      <c r="A27" s="1" t="s">
        <v>93</v>
      </c>
      <c r="B27" s="2"/>
      <c r="C27" s="2"/>
      <c r="D27" s="3"/>
      <c r="F27" s="1" t="s">
        <v>94</v>
      </c>
      <c r="G27" s="2"/>
      <c r="H27" s="2"/>
      <c r="I27" s="3"/>
      <c r="K27" s="1" t="s">
        <v>95</v>
      </c>
      <c r="L27" s="2"/>
      <c r="M27" s="2"/>
      <c r="N27" s="3"/>
      <c r="P27" s="1" t="s">
        <v>96</v>
      </c>
      <c r="Q27" s="2"/>
      <c r="R27" s="2"/>
      <c r="S27" s="3"/>
      <c r="U27" s="36" t="s">
        <v>97</v>
      </c>
      <c r="V27" s="37"/>
      <c r="W27" s="37"/>
      <c r="X27" s="28"/>
    </row>
    <row r="28" ht="14.25" customHeight="1">
      <c r="A28" s="11" t="s">
        <v>15</v>
      </c>
      <c r="B28" s="11" t="s">
        <v>91</v>
      </c>
      <c r="C28" s="11" t="s">
        <v>19</v>
      </c>
      <c r="D28" s="11" t="s">
        <v>20</v>
      </c>
      <c r="F28" s="11" t="s">
        <v>15</v>
      </c>
      <c r="G28" s="11" t="s">
        <v>91</v>
      </c>
      <c r="H28" s="11" t="s">
        <v>19</v>
      </c>
      <c r="I28" s="11" t="s">
        <v>20</v>
      </c>
      <c r="K28" s="11" t="s">
        <v>15</v>
      </c>
      <c r="L28" s="11" t="s">
        <v>91</v>
      </c>
      <c r="M28" s="11" t="s">
        <v>19</v>
      </c>
      <c r="N28" s="11" t="s">
        <v>20</v>
      </c>
      <c r="P28" s="11" t="s">
        <v>15</v>
      </c>
      <c r="Q28" s="11" t="s">
        <v>91</v>
      </c>
      <c r="R28" s="11" t="s">
        <v>19</v>
      </c>
      <c r="S28" s="11" t="s">
        <v>20</v>
      </c>
      <c r="U28" s="11" t="s">
        <v>15</v>
      </c>
      <c r="V28" s="11" t="s">
        <v>91</v>
      </c>
      <c r="W28" s="11" t="s">
        <v>19</v>
      </c>
      <c r="X28" s="11" t="s">
        <v>20</v>
      </c>
    </row>
    <row r="29" ht="14.25" customHeight="1">
      <c r="A29" s="13">
        <v>30.0</v>
      </c>
      <c r="B29" s="14">
        <v>1407.0</v>
      </c>
      <c r="C29" s="14">
        <v>1159.0</v>
      </c>
      <c r="D29" s="14">
        <v>393.0</v>
      </c>
      <c r="F29" s="13">
        <v>6.0</v>
      </c>
      <c r="G29" s="14">
        <v>955.0</v>
      </c>
      <c r="H29" s="14">
        <v>744.0</v>
      </c>
      <c r="I29" s="14">
        <v>181.0</v>
      </c>
      <c r="K29" s="13">
        <v>13.0</v>
      </c>
      <c r="L29" s="14"/>
      <c r="M29" s="14"/>
      <c r="N29" s="14"/>
      <c r="P29" s="13">
        <v>20.0</v>
      </c>
      <c r="Q29" s="14"/>
      <c r="R29" s="14"/>
      <c r="S29" s="14"/>
      <c r="U29" s="13">
        <v>27.0</v>
      </c>
      <c r="V29" s="14"/>
      <c r="W29" s="14"/>
      <c r="X29" s="14"/>
    </row>
    <row r="30" ht="14.25" customHeight="1">
      <c r="A30" s="13">
        <v>31.0</v>
      </c>
      <c r="B30" s="14">
        <v>2155.0</v>
      </c>
      <c r="C30" s="14">
        <v>1854.0</v>
      </c>
      <c r="D30" s="14">
        <v>544.0</v>
      </c>
      <c r="F30" s="13">
        <v>7.0</v>
      </c>
      <c r="G30" s="14">
        <v>1023.0</v>
      </c>
      <c r="H30" s="14">
        <v>785.0</v>
      </c>
      <c r="I30" s="14">
        <v>152.0</v>
      </c>
      <c r="K30" s="13">
        <v>14.0</v>
      </c>
      <c r="L30" s="14"/>
      <c r="M30" s="14"/>
      <c r="N30" s="14"/>
      <c r="P30" s="13">
        <v>21.0</v>
      </c>
      <c r="Q30" s="14"/>
      <c r="R30" s="14"/>
      <c r="S30" s="14"/>
      <c r="U30" s="13">
        <v>28.0</v>
      </c>
      <c r="V30" s="14"/>
      <c r="W30" s="14"/>
      <c r="X30" s="14"/>
    </row>
    <row r="31" ht="14.25" customHeight="1">
      <c r="A31" s="13">
        <v>1.0</v>
      </c>
      <c r="B31" s="14">
        <v>2157.0</v>
      </c>
      <c r="C31" s="14">
        <v>1839.0</v>
      </c>
      <c r="D31" s="14">
        <v>500.0</v>
      </c>
      <c r="F31" s="13">
        <v>8.0</v>
      </c>
      <c r="G31" s="14">
        <v>1311.0</v>
      </c>
      <c r="H31" s="14">
        <v>1014.0</v>
      </c>
      <c r="I31" s="14">
        <v>109.0</v>
      </c>
      <c r="K31" s="13">
        <v>15.0</v>
      </c>
      <c r="L31" s="14"/>
      <c r="M31" s="14"/>
      <c r="N31" s="14"/>
      <c r="P31" s="13">
        <v>22.0</v>
      </c>
      <c r="Q31" s="14"/>
      <c r="R31" s="14"/>
      <c r="S31" s="14"/>
      <c r="U31" s="13">
        <v>29.0</v>
      </c>
      <c r="V31" s="14"/>
      <c r="W31" s="14"/>
      <c r="X31" s="14"/>
    </row>
    <row r="32" ht="14.25" customHeight="1">
      <c r="A32" s="13">
        <v>2.0</v>
      </c>
      <c r="B32" s="14">
        <v>2143.0</v>
      </c>
      <c r="C32" s="14">
        <v>1763.0</v>
      </c>
      <c r="D32" s="14">
        <v>487.0</v>
      </c>
      <c r="F32" s="13">
        <v>9.0</v>
      </c>
      <c r="G32" s="14">
        <v>1309.0</v>
      </c>
      <c r="H32" s="14">
        <v>1006.0</v>
      </c>
      <c r="I32" s="14">
        <v>91.0</v>
      </c>
      <c r="K32" s="13">
        <v>16.0</v>
      </c>
      <c r="L32" s="14"/>
      <c r="M32" s="14"/>
      <c r="N32" s="14"/>
      <c r="P32" s="13">
        <v>23.0</v>
      </c>
      <c r="Q32" s="14"/>
      <c r="R32" s="14"/>
      <c r="S32" s="14"/>
      <c r="U32" s="13">
        <v>30.0</v>
      </c>
      <c r="V32" s="14"/>
      <c r="W32" s="14"/>
      <c r="X32" s="14"/>
    </row>
    <row r="33" ht="14.25" customHeight="1">
      <c r="A33" s="13">
        <v>3.0</v>
      </c>
      <c r="B33" s="14">
        <v>1447.0</v>
      </c>
      <c r="C33" s="14">
        <v>1197.0</v>
      </c>
      <c r="D33" s="14">
        <v>229.0</v>
      </c>
      <c r="F33" s="13">
        <v>10.0</v>
      </c>
      <c r="G33" s="14">
        <v>1289.0</v>
      </c>
      <c r="H33" s="14">
        <v>1057.0</v>
      </c>
      <c r="I33" s="14">
        <v>54.0</v>
      </c>
      <c r="K33" s="13">
        <v>17.0</v>
      </c>
      <c r="L33" s="14"/>
      <c r="M33" s="14"/>
      <c r="N33" s="14"/>
      <c r="P33" s="13">
        <v>24.0</v>
      </c>
      <c r="Q33" s="14"/>
      <c r="R33" s="14"/>
      <c r="S33" s="14"/>
      <c r="U33" s="13">
        <v>1.0</v>
      </c>
      <c r="V33" s="14"/>
      <c r="W33" s="14"/>
      <c r="X33" s="14"/>
    </row>
    <row r="34" ht="14.25" customHeight="1">
      <c r="A34" s="13">
        <v>4.0</v>
      </c>
      <c r="B34" s="14">
        <v>1413.0</v>
      </c>
      <c r="C34" s="14">
        <v>1053.0</v>
      </c>
      <c r="D34" s="14">
        <v>132.0</v>
      </c>
      <c r="F34" s="13">
        <v>11.0</v>
      </c>
      <c r="G34" s="14">
        <v>1135.0</v>
      </c>
      <c r="H34" s="14">
        <v>924.0</v>
      </c>
      <c r="I34" s="14">
        <v>87.0</v>
      </c>
      <c r="K34" s="13">
        <v>18.0</v>
      </c>
      <c r="L34" s="14"/>
      <c r="M34" s="14"/>
      <c r="N34" s="14"/>
      <c r="P34" s="13">
        <v>25.0</v>
      </c>
      <c r="Q34" s="14"/>
      <c r="R34" s="14"/>
      <c r="S34" s="14"/>
      <c r="U34" s="13">
        <v>2.0</v>
      </c>
      <c r="V34" s="14"/>
      <c r="W34" s="14"/>
      <c r="X34" s="14"/>
    </row>
    <row r="35" ht="14.25" customHeight="1">
      <c r="A35" s="13">
        <v>5.0</v>
      </c>
      <c r="B35" s="106">
        <v>1017.0</v>
      </c>
      <c r="C35" s="106">
        <v>801.0</v>
      </c>
      <c r="D35" s="106">
        <v>173.0</v>
      </c>
      <c r="F35" s="13">
        <v>12.0</v>
      </c>
      <c r="G35" s="14">
        <v>758.0</v>
      </c>
      <c r="H35" s="14">
        <v>611.0</v>
      </c>
      <c r="I35" s="14">
        <v>81.0</v>
      </c>
      <c r="K35" s="13">
        <v>19.0</v>
      </c>
      <c r="L35" s="14"/>
      <c r="M35" s="14"/>
      <c r="N35" s="14"/>
      <c r="P35" s="13">
        <v>26.0</v>
      </c>
      <c r="Q35" s="14"/>
      <c r="R35" s="14"/>
      <c r="S35" s="14"/>
      <c r="U35" s="13">
        <v>3.0</v>
      </c>
      <c r="V35" s="14"/>
      <c r="W35" s="14"/>
      <c r="X35" s="14"/>
    </row>
    <row r="36" ht="14.25" customHeight="1">
      <c r="B36" s="108">
        <f t="shared" ref="B36:D36" si="7">SUMPRODUCT(B29:B35)</f>
        <v>11739</v>
      </c>
      <c r="C36" s="108">
        <f t="shared" si="7"/>
        <v>9666</v>
      </c>
      <c r="D36" s="108">
        <f t="shared" si="7"/>
        <v>2458</v>
      </c>
      <c r="G36" s="108">
        <f t="shared" ref="G36:I36" si="8">SUMPRODUCT(G29:G35)</f>
        <v>7780</v>
      </c>
      <c r="H36" s="108">
        <f t="shared" si="8"/>
        <v>6141</v>
      </c>
      <c r="I36" s="108">
        <f t="shared" si="8"/>
        <v>755</v>
      </c>
      <c r="L36" s="108">
        <f t="shared" ref="L36:N36" si="9">SUMPRODUCT(L29:L35)</f>
        <v>0</v>
      </c>
      <c r="M36" s="108">
        <f t="shared" si="9"/>
        <v>0</v>
      </c>
      <c r="N36" s="108">
        <f t="shared" si="9"/>
        <v>0</v>
      </c>
      <c r="Q36" s="108">
        <f t="shared" ref="Q36:S36" si="10">SUMPRODUCT(Q29:Q35)</f>
        <v>0</v>
      </c>
      <c r="R36" s="108">
        <f t="shared" si="10"/>
        <v>0</v>
      </c>
      <c r="S36" s="108">
        <f t="shared" si="10"/>
        <v>0</v>
      </c>
      <c r="V36" s="108">
        <f t="shared" ref="V36:X36" si="11">SUMPRODUCT(V29:V35)</f>
        <v>0</v>
      </c>
      <c r="W36" s="108">
        <f t="shared" si="11"/>
        <v>0</v>
      </c>
      <c r="X36" s="108">
        <f t="shared" si="11"/>
        <v>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>
      <c r="AB68" s="90" t="s">
        <v>99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27:D27"/>
    <mergeCell ref="F27:I27"/>
    <mergeCell ref="K27:N27"/>
    <mergeCell ref="P27:S27"/>
    <mergeCell ref="U27:X27"/>
    <mergeCell ref="A1:D1"/>
    <mergeCell ref="A3:C3"/>
    <mergeCell ref="A16:D16"/>
    <mergeCell ref="F16:I16"/>
    <mergeCell ref="K16:N16"/>
    <mergeCell ref="P16:S16"/>
    <mergeCell ref="U16:X16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86"/>
    <col customWidth="1" min="4" max="4" width="9.0"/>
    <col customWidth="1" min="5" max="5" width="18.14"/>
    <col customWidth="1" min="6" max="6" width="11.0"/>
    <col customWidth="1" min="7" max="7" width="10.0"/>
    <col customWidth="1" min="8" max="8" width="14.14"/>
    <col customWidth="1" min="9" max="9" width="11.0"/>
    <col customWidth="1" min="10" max="10" width="5.86"/>
    <col customWidth="1" min="11" max="11" width="8.57"/>
    <col customWidth="1" min="12" max="12" width="10.71"/>
    <col customWidth="1" min="13" max="13" width="12.86"/>
    <col customWidth="1" min="14" max="14" width="11.43"/>
    <col customWidth="1" min="15" max="16" width="3.86"/>
    <col customWidth="1" min="17" max="17" width="5.14"/>
    <col customWidth="1" min="18" max="18" width="10.57"/>
    <col customWidth="1" min="19" max="19" width="8.57"/>
    <col customWidth="1" min="20" max="20" width="13.14"/>
    <col customWidth="1" min="21" max="21" width="11.43"/>
    <col customWidth="1" min="22" max="40" width="8.57"/>
  </cols>
  <sheetData>
    <row r="1" ht="24.0" customHeight="1">
      <c r="A1" s="95" t="s">
        <v>76</v>
      </c>
      <c r="B1" s="2"/>
      <c r="C1" s="2"/>
      <c r="D1" s="2"/>
      <c r="E1" s="3"/>
    </row>
    <row r="2" ht="14.25" customHeight="1">
      <c r="E2" s="8" t="s">
        <v>78</v>
      </c>
    </row>
    <row r="3" ht="14.25" customHeight="1">
      <c r="A3" s="97" t="s">
        <v>5</v>
      </c>
      <c r="B3" s="37"/>
      <c r="C3" s="28"/>
      <c r="E3" s="10" t="s">
        <v>6</v>
      </c>
      <c r="F3" s="10"/>
      <c r="G3" s="10"/>
      <c r="H3" s="10"/>
      <c r="K3" s="36" t="s">
        <v>7</v>
      </c>
      <c r="L3" s="37"/>
      <c r="M3" s="37"/>
      <c r="N3" s="28"/>
    </row>
    <row r="4" ht="15.75" customHeight="1">
      <c r="A4" s="11" t="s">
        <v>11</v>
      </c>
      <c r="B4" s="11" t="s">
        <v>12</v>
      </c>
      <c r="C4" s="11" t="s">
        <v>13</v>
      </c>
      <c r="E4" s="12" t="s">
        <v>14</v>
      </c>
      <c r="F4" s="12" t="s">
        <v>15</v>
      </c>
      <c r="G4" s="12" t="s">
        <v>11</v>
      </c>
      <c r="H4" s="12" t="s">
        <v>16</v>
      </c>
      <c r="K4" s="11" t="s">
        <v>17</v>
      </c>
      <c r="L4" s="11" t="s">
        <v>18</v>
      </c>
      <c r="M4" s="11" t="s">
        <v>19</v>
      </c>
      <c r="N4" s="11" t="s">
        <v>20</v>
      </c>
    </row>
    <row r="5" ht="14.25" customHeight="1">
      <c r="A5" s="15" t="s">
        <v>22</v>
      </c>
      <c r="B5" s="16">
        <f t="shared" ref="B5:B9" si="1">COUNTIF($G$4:$G$14,A5)</f>
        <v>1</v>
      </c>
      <c r="C5" s="17">
        <f>H6</f>
        <v>0.7229</v>
      </c>
      <c r="E5" s="18">
        <v>10392.0</v>
      </c>
      <c r="F5" s="19">
        <v>46265.0</v>
      </c>
      <c r="G5" s="20" t="s">
        <v>82</v>
      </c>
      <c r="H5" s="21">
        <v>0.8133</v>
      </c>
      <c r="K5" s="18">
        <v>10392.0</v>
      </c>
      <c r="L5" s="14">
        <v>61762.0</v>
      </c>
      <c r="M5" s="14">
        <v>10985.0</v>
      </c>
      <c r="N5" s="14">
        <v>389.0</v>
      </c>
    </row>
    <row r="6" ht="14.25" customHeight="1">
      <c r="A6" s="15" t="s">
        <v>83</v>
      </c>
      <c r="B6" s="16">
        <f t="shared" si="1"/>
        <v>1</v>
      </c>
      <c r="C6" s="17">
        <f>H14</f>
        <v>0.6262</v>
      </c>
      <c r="E6" s="18">
        <v>10394.0</v>
      </c>
      <c r="F6" s="19">
        <v>46266.0</v>
      </c>
      <c r="G6" s="20" t="s">
        <v>22</v>
      </c>
      <c r="H6" s="21">
        <v>0.7229</v>
      </c>
      <c r="K6" s="18">
        <v>10394.0</v>
      </c>
      <c r="L6" s="22">
        <v>80326.0</v>
      </c>
      <c r="M6" s="22">
        <v>15039.0</v>
      </c>
      <c r="N6" s="22">
        <v>387.0</v>
      </c>
    </row>
    <row r="7" ht="14.25" customHeight="1">
      <c r="A7" s="15" t="s">
        <v>85</v>
      </c>
      <c r="B7" s="16">
        <f t="shared" si="1"/>
        <v>2</v>
      </c>
      <c r="C7" s="17">
        <f>AVERAGE(H11+H13)</f>
        <v>1.135</v>
      </c>
      <c r="E7" s="18">
        <v>10395.0</v>
      </c>
      <c r="F7" s="19">
        <v>46266.0</v>
      </c>
      <c r="G7" s="20" t="s">
        <v>88</v>
      </c>
      <c r="H7" s="21">
        <v>0.6107</v>
      </c>
      <c r="K7" s="18">
        <v>10395.0</v>
      </c>
      <c r="L7" s="22">
        <v>101088.0</v>
      </c>
      <c r="M7" s="22">
        <v>14809.0</v>
      </c>
      <c r="N7" s="22">
        <v>384.0</v>
      </c>
    </row>
    <row r="8" ht="14.25" customHeight="1">
      <c r="A8" s="15" t="s">
        <v>82</v>
      </c>
      <c r="B8" s="16">
        <f t="shared" si="1"/>
        <v>4</v>
      </c>
      <c r="C8" s="17">
        <f>AVERAGE(H5+H9+H10+H12)</f>
        <v>2.5406</v>
      </c>
      <c r="E8" s="18">
        <v>10396.0</v>
      </c>
      <c r="F8" s="19">
        <v>46266.0</v>
      </c>
      <c r="G8" s="20" t="s">
        <v>88</v>
      </c>
      <c r="H8" s="21">
        <v>0.6435</v>
      </c>
      <c r="K8" s="18">
        <v>10396.0</v>
      </c>
      <c r="L8" s="22">
        <v>103527.0</v>
      </c>
      <c r="M8" s="22">
        <v>12863.0</v>
      </c>
      <c r="N8" s="22">
        <v>331.0</v>
      </c>
      <c r="R8" s="36" t="s">
        <v>4</v>
      </c>
      <c r="S8" s="37"/>
      <c r="T8" s="37"/>
      <c r="U8" s="28"/>
    </row>
    <row r="9" ht="14.25" customHeight="1">
      <c r="A9" s="15" t="s">
        <v>88</v>
      </c>
      <c r="B9" s="16">
        <f t="shared" si="1"/>
        <v>2</v>
      </c>
      <c r="C9" s="17">
        <f>AVERAGE(H7+H8)</f>
        <v>1.2542</v>
      </c>
      <c r="E9" s="18">
        <v>10397.0</v>
      </c>
      <c r="F9" s="19">
        <v>46267.0</v>
      </c>
      <c r="G9" s="20" t="s">
        <v>82</v>
      </c>
      <c r="H9" s="21">
        <v>0.5865</v>
      </c>
      <c r="K9" s="18">
        <v>10397.0</v>
      </c>
      <c r="L9" s="22">
        <v>67488.0</v>
      </c>
      <c r="M9" s="22">
        <v>12371.0</v>
      </c>
      <c r="N9" s="22">
        <v>312.0</v>
      </c>
      <c r="R9" s="40" t="s">
        <v>33</v>
      </c>
      <c r="S9" s="41"/>
      <c r="T9" s="41"/>
      <c r="U9" s="42"/>
    </row>
    <row r="10" ht="14.25" customHeight="1">
      <c r="A10" s="24" t="s">
        <v>29</v>
      </c>
      <c r="B10" s="25">
        <f>SUM(B5:B9)</f>
        <v>10</v>
      </c>
      <c r="C10" s="26">
        <f>AVERAGE(C5:C9)</f>
        <v>1.25578</v>
      </c>
      <c r="E10" s="18">
        <v>10398.0</v>
      </c>
      <c r="F10" s="19">
        <v>46267.0</v>
      </c>
      <c r="G10" s="20" t="s">
        <v>82</v>
      </c>
      <c r="H10" s="21">
        <v>0.6506</v>
      </c>
      <c r="K10" s="18">
        <v>10398.0</v>
      </c>
      <c r="L10" s="22">
        <v>54833.0</v>
      </c>
      <c r="M10" s="22">
        <v>9962.0</v>
      </c>
      <c r="N10" s="22">
        <v>292.0</v>
      </c>
      <c r="R10" s="11" t="s">
        <v>34</v>
      </c>
      <c r="S10" s="11" t="s">
        <v>18</v>
      </c>
      <c r="T10" s="11" t="s">
        <v>19</v>
      </c>
      <c r="U10" s="11" t="s">
        <v>20</v>
      </c>
    </row>
    <row r="11" ht="14.25" customHeight="1">
      <c r="E11" s="103">
        <v>10404.0</v>
      </c>
      <c r="F11" s="104">
        <v>46268.0</v>
      </c>
      <c r="G11" s="65" t="s">
        <v>85</v>
      </c>
      <c r="H11" s="105">
        <v>0.7143</v>
      </c>
      <c r="K11" s="103">
        <v>10404.0</v>
      </c>
      <c r="L11" s="22">
        <v>49231.0</v>
      </c>
      <c r="M11" s="22">
        <v>9993.0</v>
      </c>
      <c r="N11" s="22">
        <v>412.0</v>
      </c>
      <c r="R11" s="90" t="s">
        <v>22</v>
      </c>
      <c r="S11" s="46">
        <f t="shared" ref="S11:S13" si="3">L22-L6</f>
        <v>9672</v>
      </c>
      <c r="T11" s="46">
        <f t="shared" ref="T11:U11" si="2">M21-M5</f>
        <v>-10985</v>
      </c>
      <c r="U11" s="46">
        <f t="shared" si="2"/>
        <v>-389</v>
      </c>
    </row>
    <row r="12" ht="14.25" customHeight="1">
      <c r="E12" s="107">
        <v>10183.0</v>
      </c>
      <c r="F12" s="109">
        <v>46268.0</v>
      </c>
      <c r="G12" s="110" t="s">
        <v>82</v>
      </c>
      <c r="H12" s="111">
        <v>0.4902</v>
      </c>
      <c r="I12" s="90" t="s">
        <v>92</v>
      </c>
      <c r="K12" s="107">
        <v>10183.0</v>
      </c>
      <c r="L12" s="112">
        <v>17306.0</v>
      </c>
      <c r="M12" s="112">
        <v>5495.0</v>
      </c>
      <c r="N12" s="107">
        <v>100.0</v>
      </c>
      <c r="R12" s="90" t="s">
        <v>88</v>
      </c>
      <c r="S12" s="46">
        <f t="shared" si="3"/>
        <v>-28845</v>
      </c>
      <c r="T12" s="46">
        <f t="shared" ref="T12:U12" si="4">M23-M7</f>
        <v>-6040</v>
      </c>
      <c r="U12" s="46">
        <f t="shared" si="4"/>
        <v>-211</v>
      </c>
    </row>
    <row r="13" ht="14.25" customHeight="1">
      <c r="E13" s="107">
        <v>10409.0</v>
      </c>
      <c r="F13" s="109">
        <v>46269.0</v>
      </c>
      <c r="G13" s="110" t="s">
        <v>85</v>
      </c>
      <c r="H13" s="111">
        <v>0.4207</v>
      </c>
      <c r="I13" s="56" t="s">
        <v>92</v>
      </c>
      <c r="J13" s="56"/>
      <c r="K13" s="107">
        <v>10409.0</v>
      </c>
      <c r="L13" s="112">
        <v>55269.0</v>
      </c>
      <c r="M13" s="112">
        <v>8273.0</v>
      </c>
      <c r="N13" s="107">
        <v>252.0</v>
      </c>
      <c r="R13" s="90" t="s">
        <v>88</v>
      </c>
      <c r="S13" s="46">
        <f t="shared" si="3"/>
        <v>-40757</v>
      </c>
      <c r="T13" s="46">
        <f t="shared" ref="T13:U13" si="5">M24-M8</f>
        <v>-5986</v>
      </c>
      <c r="U13" s="46">
        <f t="shared" si="5"/>
        <v>-258</v>
      </c>
    </row>
    <row r="14" ht="14.25" customHeight="1">
      <c r="E14" s="18">
        <v>10408.0</v>
      </c>
      <c r="F14" s="19">
        <v>46269.0</v>
      </c>
      <c r="G14" s="117" t="s">
        <v>83</v>
      </c>
      <c r="H14" s="21">
        <v>0.6262</v>
      </c>
      <c r="K14" s="18">
        <v>10408.0</v>
      </c>
      <c r="L14" s="22">
        <v>77864.0</v>
      </c>
      <c r="M14" s="22">
        <v>9553.0</v>
      </c>
      <c r="N14" s="22">
        <v>216.0</v>
      </c>
      <c r="R14" s="90" t="s">
        <v>85</v>
      </c>
      <c r="S14" s="46">
        <f t="shared" ref="S14:U14" si="6">L27-L11</f>
        <v>-1251</v>
      </c>
      <c r="T14" s="46">
        <f t="shared" si="6"/>
        <v>-3183</v>
      </c>
      <c r="U14" s="46">
        <f t="shared" si="6"/>
        <v>-171</v>
      </c>
    </row>
    <row r="15" ht="14.25" customHeight="1">
      <c r="K15" s="34" t="s">
        <v>29</v>
      </c>
      <c r="L15" s="35">
        <f t="shared" ref="L15:N15" si="7">SUM(L5:L14)</f>
        <v>668694</v>
      </c>
      <c r="M15" s="35">
        <f t="shared" si="7"/>
        <v>109343</v>
      </c>
      <c r="N15" s="35">
        <f t="shared" si="7"/>
        <v>3075</v>
      </c>
      <c r="R15" s="90" t="s">
        <v>85</v>
      </c>
      <c r="S15" s="46">
        <f t="shared" ref="S15:U15" si="8">L28-L13</f>
        <v>-14318</v>
      </c>
      <c r="T15" s="46">
        <f t="shared" si="8"/>
        <v>-1550</v>
      </c>
      <c r="U15" s="46">
        <f t="shared" si="8"/>
        <v>-139</v>
      </c>
    </row>
    <row r="16" ht="14.25" customHeight="1">
      <c r="R16" s="90" t="s">
        <v>83</v>
      </c>
      <c r="S16" s="46">
        <f t="shared" ref="S16:U16" si="9">L29-L14</f>
        <v>410</v>
      </c>
      <c r="T16" s="46">
        <f t="shared" si="9"/>
        <v>-451</v>
      </c>
      <c r="U16" s="46">
        <f t="shared" si="9"/>
        <v>-79</v>
      </c>
    </row>
    <row r="17" ht="14.25" customHeight="1">
      <c r="R17" s="90" t="s">
        <v>82</v>
      </c>
      <c r="S17" s="46">
        <f t="shared" ref="S17:U17" si="10">L21-L5</f>
        <v>-61762</v>
      </c>
      <c r="T17" s="46">
        <f t="shared" si="10"/>
        <v>-10985</v>
      </c>
      <c r="U17" s="46">
        <f t="shared" si="10"/>
        <v>-389</v>
      </c>
    </row>
    <row r="18" ht="14.25" customHeight="1">
      <c r="E18" s="8" t="s">
        <v>98</v>
      </c>
      <c r="R18" s="90" t="s">
        <v>82</v>
      </c>
      <c r="S18" s="46">
        <f t="shared" ref="S18:U18" si="11">L25-L9</f>
        <v>7185</v>
      </c>
      <c r="T18" s="46">
        <f t="shared" si="11"/>
        <v>-3693</v>
      </c>
      <c r="U18" s="46">
        <f t="shared" si="11"/>
        <v>-114</v>
      </c>
    </row>
    <row r="19" ht="14.25" customHeight="1">
      <c r="A19" s="97" t="s">
        <v>5</v>
      </c>
      <c r="B19" s="37"/>
      <c r="C19" s="28"/>
      <c r="D19" s="124"/>
      <c r="E19" s="10" t="s">
        <v>6</v>
      </c>
      <c r="F19" s="10"/>
      <c r="G19" s="10"/>
      <c r="H19" s="10"/>
      <c r="K19" s="9" t="s">
        <v>7</v>
      </c>
      <c r="L19" s="9"/>
      <c r="M19" s="9"/>
      <c r="N19" s="9"/>
      <c r="R19" s="6" t="s">
        <v>82</v>
      </c>
      <c r="S19" s="125">
        <f t="shared" ref="S19:U19" si="12">L26-L10</f>
        <v>-2567</v>
      </c>
      <c r="T19" s="125">
        <f t="shared" si="12"/>
        <v>-2858</v>
      </c>
      <c r="U19" s="125">
        <f t="shared" si="12"/>
        <v>-202</v>
      </c>
    </row>
    <row r="20" ht="14.25" customHeight="1">
      <c r="A20" s="11" t="s">
        <v>11</v>
      </c>
      <c r="B20" s="11" t="s">
        <v>12</v>
      </c>
      <c r="C20" s="11" t="s">
        <v>13</v>
      </c>
      <c r="E20" s="12" t="s">
        <v>14</v>
      </c>
      <c r="F20" s="12" t="s">
        <v>15</v>
      </c>
      <c r="G20" s="12" t="s">
        <v>11</v>
      </c>
      <c r="H20" s="12" t="s">
        <v>16</v>
      </c>
      <c r="J20" s="126"/>
      <c r="K20" s="11" t="s">
        <v>17</v>
      </c>
      <c r="L20" s="11" t="s">
        <v>18</v>
      </c>
      <c r="M20" s="11" t="s">
        <v>19</v>
      </c>
      <c r="N20" s="11" t="s">
        <v>20</v>
      </c>
      <c r="R20" s="6"/>
      <c r="S20" s="125"/>
      <c r="T20" s="125"/>
      <c r="U20" s="125"/>
    </row>
    <row r="21" ht="14.25" customHeight="1">
      <c r="A21" s="15" t="s">
        <v>22</v>
      </c>
      <c r="B21" s="16">
        <f t="shared" ref="B21:B25" si="13">COUNTIF($G$21:$G$29,A21)</f>
        <v>1</v>
      </c>
      <c r="C21" s="17">
        <f>H22</f>
        <v>0.7059</v>
      </c>
      <c r="E21" s="18"/>
      <c r="F21" s="19"/>
      <c r="G21" s="20"/>
      <c r="H21" s="21"/>
      <c r="I21" s="126"/>
      <c r="J21" s="126"/>
      <c r="K21" s="127"/>
      <c r="L21" s="14"/>
      <c r="M21" s="14"/>
      <c r="N21" s="14"/>
    </row>
    <row r="22" ht="14.25" customHeight="1">
      <c r="A22" s="15" t="s">
        <v>83</v>
      </c>
      <c r="B22" s="16">
        <f t="shared" si="13"/>
        <v>1</v>
      </c>
      <c r="C22" s="17">
        <f>H29</f>
        <v>0.6014</v>
      </c>
      <c r="E22" s="18">
        <v>10411.0</v>
      </c>
      <c r="F22" s="19">
        <v>46273.0</v>
      </c>
      <c r="G22" s="20" t="s">
        <v>22</v>
      </c>
      <c r="H22" s="21">
        <v>0.7059</v>
      </c>
      <c r="I22" s="126"/>
      <c r="K22" s="18">
        <v>10411.0</v>
      </c>
      <c r="L22" s="22">
        <v>89998.0</v>
      </c>
      <c r="M22" s="22">
        <v>12257.0</v>
      </c>
      <c r="N22" s="22">
        <v>316.0</v>
      </c>
    </row>
    <row r="23" ht="14.25" customHeight="1">
      <c r="A23" s="15" t="s">
        <v>85</v>
      </c>
      <c r="B23" s="16">
        <f t="shared" si="13"/>
        <v>2</v>
      </c>
      <c r="C23" s="17">
        <f>H27</f>
        <v>0.6477</v>
      </c>
      <c r="E23" s="18">
        <v>10412.0</v>
      </c>
      <c r="F23" s="19">
        <v>46273.0</v>
      </c>
      <c r="G23" s="20" t="s">
        <v>88</v>
      </c>
      <c r="H23" s="21">
        <v>0.5266</v>
      </c>
      <c r="K23" s="18">
        <v>10412.0</v>
      </c>
      <c r="L23" s="22">
        <v>72243.0</v>
      </c>
      <c r="M23" s="22">
        <v>8769.0</v>
      </c>
      <c r="N23" s="22">
        <v>173.0</v>
      </c>
    </row>
    <row r="24" ht="14.25" customHeight="1">
      <c r="A24" s="15" t="s">
        <v>82</v>
      </c>
      <c r="B24" s="16">
        <f t="shared" si="13"/>
        <v>2</v>
      </c>
      <c r="C24" s="17">
        <f>AVERAGE(H25:H26)</f>
        <v>0.6088</v>
      </c>
      <c r="E24" s="18">
        <v>10413.0</v>
      </c>
      <c r="F24" s="19">
        <v>46273.0</v>
      </c>
      <c r="G24" s="20" t="s">
        <v>88</v>
      </c>
      <c r="H24" s="21">
        <v>0.5721</v>
      </c>
      <c r="K24" s="18">
        <v>10413.0</v>
      </c>
      <c r="L24" s="22">
        <v>62770.0</v>
      </c>
      <c r="M24" s="22">
        <v>6877.0</v>
      </c>
      <c r="N24" s="22">
        <v>73.0</v>
      </c>
    </row>
    <row r="25" ht="14.25" customHeight="1">
      <c r="A25" s="15" t="s">
        <v>88</v>
      </c>
      <c r="B25" s="16">
        <f t="shared" si="13"/>
        <v>2</v>
      </c>
      <c r="C25" s="17">
        <f>AVERAGE(H23:H24)</f>
        <v>0.54935</v>
      </c>
      <c r="E25" s="18">
        <v>10414.0</v>
      </c>
      <c r="F25" s="19">
        <v>46274.0</v>
      </c>
      <c r="G25" s="20" t="s">
        <v>82</v>
      </c>
      <c r="H25" s="21">
        <v>0.6089</v>
      </c>
      <c r="K25" s="18">
        <v>10414.0</v>
      </c>
      <c r="L25" s="22">
        <v>74673.0</v>
      </c>
      <c r="M25" s="22">
        <v>8678.0</v>
      </c>
      <c r="N25" s="22">
        <v>198.0</v>
      </c>
    </row>
    <row r="26" ht="14.25" customHeight="1">
      <c r="A26" s="24" t="s">
        <v>29</v>
      </c>
      <c r="B26" s="25">
        <f>SUM(B21:B25)</f>
        <v>8</v>
      </c>
      <c r="C26" s="26">
        <f>AVERAGE(C21:C25)</f>
        <v>0.62263</v>
      </c>
      <c r="E26" s="18">
        <v>10415.0</v>
      </c>
      <c r="F26" s="19">
        <v>46274.0</v>
      </c>
      <c r="G26" s="20" t="s">
        <v>82</v>
      </c>
      <c r="H26" s="21">
        <v>0.6087</v>
      </c>
      <c r="K26" s="18">
        <v>10415.0</v>
      </c>
      <c r="L26" s="22">
        <v>52266.0</v>
      </c>
      <c r="M26" s="22">
        <v>7104.0</v>
      </c>
      <c r="N26" s="22">
        <v>90.0</v>
      </c>
    </row>
    <row r="27" ht="14.25" customHeight="1">
      <c r="E27" s="18">
        <v>10422.0</v>
      </c>
      <c r="F27" s="19">
        <v>46275.0</v>
      </c>
      <c r="G27" s="65" t="s">
        <v>85</v>
      </c>
      <c r="H27" s="21">
        <v>0.6477</v>
      </c>
      <c r="K27" s="18">
        <v>10422.0</v>
      </c>
      <c r="L27" s="22">
        <v>47980.0</v>
      </c>
      <c r="M27" s="22">
        <v>6810.0</v>
      </c>
      <c r="N27" s="22">
        <v>241.0</v>
      </c>
    </row>
    <row r="28" ht="13.5" customHeight="1">
      <c r="E28" s="18">
        <v>10426.0</v>
      </c>
      <c r="F28" s="19">
        <v>46276.0</v>
      </c>
      <c r="G28" s="20" t="s">
        <v>85</v>
      </c>
      <c r="H28" s="21">
        <v>0.4593</v>
      </c>
      <c r="K28" s="18">
        <v>10426.0</v>
      </c>
      <c r="L28" s="22">
        <v>40951.0</v>
      </c>
      <c r="M28" s="22">
        <v>6723.0</v>
      </c>
      <c r="N28" s="22">
        <v>113.0</v>
      </c>
      <c r="R28" s="36" t="s">
        <v>47</v>
      </c>
      <c r="S28" s="37"/>
      <c r="T28" s="37"/>
      <c r="U28" s="28"/>
    </row>
    <row r="29" ht="14.25" customHeight="1">
      <c r="E29" s="18">
        <v>10425.0</v>
      </c>
      <c r="F29" s="19">
        <v>46276.0</v>
      </c>
      <c r="G29" s="20" t="s">
        <v>83</v>
      </c>
      <c r="H29" s="21">
        <v>0.6014</v>
      </c>
      <c r="K29" s="18">
        <v>10425.0</v>
      </c>
      <c r="L29" s="22">
        <v>78274.0</v>
      </c>
      <c r="M29" s="22">
        <v>9102.0</v>
      </c>
      <c r="N29" s="22">
        <v>137.0</v>
      </c>
      <c r="R29" s="40" t="s">
        <v>33</v>
      </c>
      <c r="S29" s="41"/>
      <c r="T29" s="41"/>
      <c r="U29" s="42"/>
    </row>
    <row r="30" ht="14.25" customHeight="1">
      <c r="K30" s="34" t="s">
        <v>29</v>
      </c>
      <c r="L30" s="35">
        <f t="shared" ref="L30:N30" si="14">SUM(L22:L29)</f>
        <v>519155</v>
      </c>
      <c r="M30" s="35">
        <f t="shared" si="14"/>
        <v>66320</v>
      </c>
      <c r="N30" s="35">
        <f t="shared" si="14"/>
        <v>1341</v>
      </c>
      <c r="R30" s="11" t="s">
        <v>34</v>
      </c>
      <c r="S30" s="11" t="s">
        <v>18</v>
      </c>
      <c r="T30" s="11" t="s">
        <v>19</v>
      </c>
      <c r="U30" s="11" t="s">
        <v>20</v>
      </c>
    </row>
    <row r="31" ht="14.25" customHeight="1">
      <c r="R31" s="90" t="s">
        <v>22</v>
      </c>
      <c r="S31" s="46">
        <f t="shared" ref="S31:S33" si="16">L38-L22</f>
        <v>-89998</v>
      </c>
      <c r="T31" s="46">
        <f t="shared" ref="T31:U31" si="15">M41-M25</f>
        <v>-8678</v>
      </c>
      <c r="U31" s="46">
        <f t="shared" si="15"/>
        <v>-198</v>
      </c>
    </row>
    <row r="32" ht="14.25" customHeight="1">
      <c r="R32" s="90" t="s">
        <v>88</v>
      </c>
      <c r="S32" s="46">
        <f t="shared" si="16"/>
        <v>-72243</v>
      </c>
      <c r="T32" s="46">
        <f t="shared" ref="T32:U32" si="17">M39-M23</f>
        <v>-8769</v>
      </c>
      <c r="U32" s="46">
        <f t="shared" si="17"/>
        <v>-173</v>
      </c>
    </row>
    <row r="33" ht="14.25" customHeight="1">
      <c r="R33" s="90" t="s">
        <v>88</v>
      </c>
      <c r="S33" s="46">
        <f t="shared" si="16"/>
        <v>-62770</v>
      </c>
      <c r="T33" s="46">
        <f t="shared" ref="T33:U33" si="18">M40-M24</f>
        <v>-6877</v>
      </c>
      <c r="U33" s="46">
        <f t="shared" si="18"/>
        <v>-73</v>
      </c>
    </row>
    <row r="34" ht="14.25" customHeight="1">
      <c r="E34" s="8" t="s">
        <v>100</v>
      </c>
      <c r="R34" s="90" t="s">
        <v>85</v>
      </c>
      <c r="S34" s="46">
        <f t="shared" ref="S34:U34" si="19">L43-L27</f>
        <v>-47980</v>
      </c>
      <c r="T34" s="46">
        <f t="shared" si="19"/>
        <v>-6810</v>
      </c>
      <c r="U34" s="46">
        <f t="shared" si="19"/>
        <v>-241</v>
      </c>
    </row>
    <row r="35" ht="14.25" customHeight="1">
      <c r="A35" s="97" t="s">
        <v>5</v>
      </c>
      <c r="B35" s="37"/>
      <c r="C35" s="28"/>
      <c r="E35" s="10" t="s">
        <v>6</v>
      </c>
      <c r="F35" s="10"/>
      <c r="G35" s="10"/>
      <c r="H35" s="10"/>
      <c r="K35" s="9" t="s">
        <v>7</v>
      </c>
      <c r="L35" s="9"/>
      <c r="M35" s="9"/>
      <c r="N35" s="9"/>
      <c r="R35" s="90" t="s">
        <v>85</v>
      </c>
      <c r="S35" s="46">
        <f t="shared" ref="S35:U35" si="20">L44-L28</f>
        <v>-40951</v>
      </c>
      <c r="T35" s="46">
        <f t="shared" si="20"/>
        <v>-6723</v>
      </c>
      <c r="U35" s="46">
        <f t="shared" si="20"/>
        <v>-113</v>
      </c>
    </row>
    <row r="36" ht="15.0" customHeight="1">
      <c r="A36" s="11" t="s">
        <v>11</v>
      </c>
      <c r="B36" s="11" t="s">
        <v>12</v>
      </c>
      <c r="C36" s="11" t="s">
        <v>13</v>
      </c>
      <c r="E36" s="12" t="s">
        <v>14</v>
      </c>
      <c r="F36" s="12" t="s">
        <v>15</v>
      </c>
      <c r="G36" s="12" t="s">
        <v>11</v>
      </c>
      <c r="H36" s="12" t="s">
        <v>16</v>
      </c>
      <c r="J36" s="126"/>
      <c r="K36" s="11" t="s">
        <v>17</v>
      </c>
      <c r="L36" s="11" t="s">
        <v>18</v>
      </c>
      <c r="M36" s="11" t="s">
        <v>19</v>
      </c>
      <c r="N36" s="11" t="s">
        <v>20</v>
      </c>
      <c r="R36" s="90" t="s">
        <v>83</v>
      </c>
      <c r="S36" s="46">
        <f t="shared" ref="S36:U36" si="21">L45-L29</f>
        <v>-78274</v>
      </c>
      <c r="T36" s="46">
        <f t="shared" si="21"/>
        <v>-9102</v>
      </c>
      <c r="U36" s="46">
        <f t="shared" si="21"/>
        <v>-137</v>
      </c>
    </row>
    <row r="37" ht="14.25" customHeight="1">
      <c r="A37" s="15" t="s">
        <v>22</v>
      </c>
      <c r="B37" s="16">
        <f t="shared" ref="B37:B38" si="23">COUNTIF($G$37:$G$44,A37)</f>
        <v>1</v>
      </c>
      <c r="C37" s="17"/>
      <c r="E37" s="18"/>
      <c r="F37" s="19"/>
      <c r="G37" s="20" t="s">
        <v>82</v>
      </c>
      <c r="H37" s="21"/>
      <c r="I37" s="126"/>
      <c r="J37" s="126"/>
      <c r="K37" s="18"/>
      <c r="L37" s="14"/>
      <c r="M37" s="14"/>
      <c r="N37" s="14"/>
      <c r="R37" s="90" t="s">
        <v>82</v>
      </c>
      <c r="S37" s="46">
        <f t="shared" ref="S37:U37" si="22">L37-L21</f>
        <v>0</v>
      </c>
      <c r="T37" s="46">
        <f t="shared" si="22"/>
        <v>0</v>
      </c>
      <c r="U37" s="46">
        <f t="shared" si="22"/>
        <v>0</v>
      </c>
    </row>
    <row r="38" ht="14.25" customHeight="1">
      <c r="A38" s="15" t="s">
        <v>83</v>
      </c>
      <c r="B38" s="16">
        <f t="shared" si="23"/>
        <v>0</v>
      </c>
      <c r="C38" s="17"/>
      <c r="E38" s="18"/>
      <c r="F38" s="19"/>
      <c r="G38" s="20" t="s">
        <v>22</v>
      </c>
      <c r="H38" s="21"/>
      <c r="I38" s="126"/>
      <c r="K38" s="18"/>
      <c r="L38" s="22"/>
      <c r="M38" s="22"/>
      <c r="N38" s="22"/>
      <c r="R38" s="90" t="s">
        <v>82</v>
      </c>
      <c r="S38" s="46">
        <f t="shared" ref="S38:U38" si="24">L41-L25</f>
        <v>-74673</v>
      </c>
      <c r="T38" s="46">
        <f t="shared" si="24"/>
        <v>-8678</v>
      </c>
      <c r="U38" s="46">
        <f t="shared" si="24"/>
        <v>-198</v>
      </c>
    </row>
    <row r="39" ht="14.25" customHeight="1">
      <c r="A39" s="15" t="s">
        <v>85</v>
      </c>
      <c r="B39" s="16">
        <f>COUNTIF($G$37:$G$45,A39)</f>
        <v>2</v>
      </c>
      <c r="C39" s="17"/>
      <c r="E39" s="18"/>
      <c r="F39" s="19"/>
      <c r="G39" s="20" t="s">
        <v>88</v>
      </c>
      <c r="H39" s="21"/>
      <c r="K39" s="18"/>
      <c r="L39" s="22"/>
      <c r="M39" s="22"/>
      <c r="N39" s="22"/>
      <c r="R39" s="90" t="s">
        <v>82</v>
      </c>
      <c r="S39" s="46">
        <f t="shared" ref="S39:U39" si="25">L42-L26</f>
        <v>-52266</v>
      </c>
      <c r="T39" s="46">
        <f t="shared" si="25"/>
        <v>-7104</v>
      </c>
      <c r="U39" s="46">
        <f t="shared" si="25"/>
        <v>-90</v>
      </c>
    </row>
    <row r="40" ht="14.25" customHeight="1">
      <c r="A40" s="15" t="s">
        <v>82</v>
      </c>
      <c r="B40" s="16">
        <f t="shared" ref="B40:B41" si="26">COUNTIF($G$37:$G$44,A40)</f>
        <v>3</v>
      </c>
      <c r="C40" s="17"/>
      <c r="D40" s="131"/>
      <c r="E40" s="18"/>
      <c r="F40" s="19"/>
      <c r="G40" s="20" t="s">
        <v>88</v>
      </c>
      <c r="H40" s="21"/>
      <c r="K40" s="18"/>
      <c r="L40" s="22"/>
      <c r="M40" s="22"/>
      <c r="N40" s="22"/>
      <c r="S40" s="46"/>
      <c r="T40" s="46"/>
      <c r="U40" s="46"/>
    </row>
    <row r="41" ht="14.25" customHeight="1">
      <c r="A41" s="15" t="s">
        <v>88</v>
      </c>
      <c r="B41" s="16">
        <f t="shared" si="26"/>
        <v>2</v>
      </c>
      <c r="C41" s="17"/>
      <c r="D41" s="131"/>
      <c r="E41" s="18"/>
      <c r="F41" s="19"/>
      <c r="G41" s="20" t="s">
        <v>82</v>
      </c>
      <c r="H41" s="21"/>
      <c r="K41" s="18"/>
      <c r="L41" s="22"/>
      <c r="M41" s="22"/>
      <c r="N41" s="22"/>
      <c r="S41" s="46"/>
      <c r="T41" s="46"/>
      <c r="U41" s="46"/>
    </row>
    <row r="42" ht="14.25" customHeight="1">
      <c r="A42" s="24" t="s">
        <v>29</v>
      </c>
      <c r="B42" s="25">
        <f>SUM(B37:B41)</f>
        <v>8</v>
      </c>
      <c r="C42" s="26" t="str">
        <f>AVERAGE(C37:C41)</f>
        <v>#DIV/0!</v>
      </c>
      <c r="E42" s="18"/>
      <c r="F42" s="19"/>
      <c r="G42" s="20" t="s">
        <v>82</v>
      </c>
      <c r="H42" s="21"/>
      <c r="K42" s="18"/>
      <c r="L42" s="22"/>
      <c r="M42" s="22"/>
      <c r="N42" s="22"/>
    </row>
    <row r="43" ht="14.25" customHeight="1">
      <c r="E43" s="18"/>
      <c r="F43" s="19"/>
      <c r="G43" s="65" t="s">
        <v>85</v>
      </c>
      <c r="H43" s="21"/>
      <c r="K43" s="18"/>
      <c r="L43" s="22"/>
      <c r="M43" s="22"/>
      <c r="N43" s="22"/>
    </row>
    <row r="44" ht="14.25" customHeight="1">
      <c r="E44" s="18"/>
      <c r="F44" s="19"/>
      <c r="G44" s="20" t="s">
        <v>85</v>
      </c>
      <c r="H44" s="21"/>
      <c r="K44" s="18"/>
      <c r="L44" s="22"/>
      <c r="M44" s="22"/>
      <c r="N44" s="22"/>
    </row>
    <row r="45" ht="14.25" customHeight="1">
      <c r="E45" s="18"/>
      <c r="F45" s="19"/>
      <c r="G45" s="20" t="s">
        <v>83</v>
      </c>
      <c r="H45" s="21"/>
      <c r="K45" s="18"/>
      <c r="L45" s="22"/>
      <c r="M45" s="22"/>
      <c r="N45" s="22"/>
    </row>
    <row r="46" ht="14.25" customHeight="1">
      <c r="K46" s="34" t="s">
        <v>29</v>
      </c>
      <c r="L46" s="35">
        <f t="shared" ref="L46:N46" si="27">SUM(L38:L44)</f>
        <v>0</v>
      </c>
      <c r="M46" s="35">
        <f t="shared" si="27"/>
        <v>0</v>
      </c>
      <c r="N46" s="35">
        <f t="shared" si="27"/>
        <v>0</v>
      </c>
    </row>
    <row r="47" ht="14.25" customHeight="1"/>
    <row r="48" ht="14.25" customHeight="1">
      <c r="R48" s="36" t="s">
        <v>56</v>
      </c>
      <c r="S48" s="37"/>
      <c r="T48" s="37"/>
      <c r="U48" s="28"/>
    </row>
    <row r="49" ht="13.5" customHeight="1">
      <c r="R49" s="40" t="s">
        <v>33</v>
      </c>
      <c r="S49" s="41"/>
      <c r="T49" s="41"/>
      <c r="U49" s="42"/>
    </row>
    <row r="50" ht="14.25" customHeight="1">
      <c r="E50" s="8" t="s">
        <v>101</v>
      </c>
      <c r="R50" s="11" t="s">
        <v>34</v>
      </c>
      <c r="S50" s="11" t="s">
        <v>18</v>
      </c>
      <c r="T50" s="11" t="s">
        <v>19</v>
      </c>
      <c r="U50" s="11" t="s">
        <v>20</v>
      </c>
    </row>
    <row r="51" ht="14.25" customHeight="1">
      <c r="A51" s="97" t="s">
        <v>5</v>
      </c>
      <c r="B51" s="37"/>
      <c r="C51" s="28"/>
      <c r="E51" s="10" t="s">
        <v>6</v>
      </c>
      <c r="F51" s="10"/>
      <c r="G51" s="10"/>
      <c r="H51" s="10"/>
      <c r="K51" s="9" t="s">
        <v>7</v>
      </c>
      <c r="L51" s="9"/>
      <c r="M51" s="9"/>
      <c r="N51" s="9"/>
      <c r="R51" s="90" t="s">
        <v>22</v>
      </c>
      <c r="S51" s="46"/>
      <c r="T51" s="46"/>
      <c r="U51" s="46"/>
    </row>
    <row r="52" ht="15.75" customHeight="1">
      <c r="A52" s="11" t="s">
        <v>11</v>
      </c>
      <c r="B52" s="11" t="s">
        <v>12</v>
      </c>
      <c r="C52" s="11" t="s">
        <v>13</v>
      </c>
      <c r="E52" s="12" t="s">
        <v>14</v>
      </c>
      <c r="F52" s="12" t="s">
        <v>15</v>
      </c>
      <c r="G52" s="12" t="s">
        <v>11</v>
      </c>
      <c r="H52" s="12" t="s">
        <v>16</v>
      </c>
      <c r="J52" s="126"/>
      <c r="K52" s="11" t="s">
        <v>17</v>
      </c>
      <c r="L52" s="11" t="s">
        <v>18</v>
      </c>
      <c r="M52" s="11" t="s">
        <v>19</v>
      </c>
      <c r="N52" s="11" t="s">
        <v>20</v>
      </c>
      <c r="R52" s="90" t="s">
        <v>88</v>
      </c>
      <c r="S52" s="46"/>
      <c r="T52" s="46"/>
      <c r="U52" s="46"/>
    </row>
    <row r="53" ht="14.25" customHeight="1">
      <c r="A53" s="15" t="s">
        <v>22</v>
      </c>
      <c r="B53" s="16">
        <f t="shared" ref="B53:B57" si="28">COUNTIF($G$53:$G$61,A53)</f>
        <v>0</v>
      </c>
      <c r="C53" s="17"/>
      <c r="E53" s="18"/>
      <c r="F53" s="19"/>
      <c r="G53" s="20"/>
      <c r="H53" s="21"/>
      <c r="I53" s="126"/>
      <c r="J53" s="126"/>
      <c r="K53" s="18"/>
      <c r="L53" s="14"/>
      <c r="M53" s="14"/>
      <c r="N53" s="14"/>
      <c r="R53" s="90" t="s">
        <v>88</v>
      </c>
      <c r="S53" s="46"/>
      <c r="T53" s="46"/>
      <c r="U53" s="46"/>
    </row>
    <row r="54" ht="14.25" customHeight="1">
      <c r="A54" s="15" t="s">
        <v>83</v>
      </c>
      <c r="B54" s="16">
        <f t="shared" si="28"/>
        <v>0</v>
      </c>
      <c r="C54" s="17"/>
      <c r="E54" s="18"/>
      <c r="F54" s="19"/>
      <c r="G54" s="20"/>
      <c r="H54" s="21"/>
      <c r="I54" s="126"/>
      <c r="K54" s="18"/>
      <c r="L54" s="22"/>
      <c r="M54" s="22"/>
      <c r="N54" s="22"/>
      <c r="R54" s="90" t="s">
        <v>85</v>
      </c>
      <c r="S54" s="46"/>
      <c r="T54" s="46"/>
      <c r="U54" s="46"/>
    </row>
    <row r="55" ht="14.25" customHeight="1">
      <c r="A55" s="15" t="s">
        <v>85</v>
      </c>
      <c r="B55" s="16">
        <f t="shared" si="28"/>
        <v>0</v>
      </c>
      <c r="C55" s="17"/>
      <c r="E55" s="18"/>
      <c r="F55" s="19"/>
      <c r="G55" s="20"/>
      <c r="H55" s="21"/>
      <c r="K55" s="18"/>
      <c r="L55" s="22"/>
      <c r="M55" s="22"/>
      <c r="N55" s="22"/>
      <c r="R55" s="90" t="s">
        <v>85</v>
      </c>
      <c r="S55" s="46"/>
      <c r="T55" s="46"/>
      <c r="U55" s="46"/>
    </row>
    <row r="56" ht="14.25" customHeight="1">
      <c r="A56" s="15" t="s">
        <v>82</v>
      </c>
      <c r="B56" s="16">
        <f t="shared" si="28"/>
        <v>0</v>
      </c>
      <c r="C56" s="17"/>
      <c r="D56" s="131"/>
      <c r="E56" s="18"/>
      <c r="F56" s="19"/>
      <c r="G56" s="20"/>
      <c r="H56" s="21"/>
      <c r="K56" s="18"/>
      <c r="L56" s="22"/>
      <c r="M56" s="22"/>
      <c r="N56" s="22"/>
      <c r="R56" s="90" t="s">
        <v>83</v>
      </c>
      <c r="S56" s="46"/>
      <c r="T56" s="46"/>
      <c r="U56" s="46"/>
    </row>
    <row r="57" ht="14.25" customHeight="1">
      <c r="A57" s="15" t="s">
        <v>88</v>
      </c>
      <c r="B57" s="16">
        <f t="shared" si="28"/>
        <v>0</v>
      </c>
      <c r="C57" s="17"/>
      <c r="D57" s="131"/>
      <c r="E57" s="18"/>
      <c r="F57" s="19"/>
      <c r="G57" s="20"/>
      <c r="H57" s="21"/>
      <c r="K57" s="18"/>
      <c r="L57" s="22"/>
      <c r="M57" s="22"/>
      <c r="N57" s="22"/>
      <c r="R57" s="90" t="s">
        <v>82</v>
      </c>
      <c r="S57" s="46"/>
      <c r="T57" s="46"/>
      <c r="U57" s="46"/>
    </row>
    <row r="58" ht="14.25" customHeight="1">
      <c r="A58" s="24" t="s">
        <v>29</v>
      </c>
      <c r="B58" s="25">
        <f>SUM(B53:B57)</f>
        <v>0</v>
      </c>
      <c r="C58" s="26" t="str">
        <f>AVERAGE(C53:C57)</f>
        <v>#DIV/0!</v>
      </c>
      <c r="E58" s="18"/>
      <c r="F58" s="19"/>
      <c r="G58" s="20"/>
      <c r="H58" s="21"/>
      <c r="K58" s="18"/>
      <c r="L58" s="22"/>
      <c r="M58" s="22"/>
      <c r="N58" s="22"/>
      <c r="R58" s="90" t="s">
        <v>82</v>
      </c>
      <c r="S58" s="46"/>
      <c r="T58" s="46"/>
      <c r="U58" s="46"/>
    </row>
    <row r="59" ht="14.25" customHeight="1">
      <c r="E59" s="18"/>
      <c r="F59" s="19"/>
      <c r="G59" s="20"/>
      <c r="H59" s="21"/>
      <c r="K59" s="18"/>
      <c r="L59" s="22"/>
      <c r="M59" s="22"/>
      <c r="N59" s="22"/>
      <c r="R59" s="90" t="s">
        <v>82</v>
      </c>
      <c r="S59" s="46"/>
      <c r="T59" s="46"/>
      <c r="U59" s="46"/>
    </row>
    <row r="60" ht="14.25" customHeight="1">
      <c r="E60" s="18"/>
      <c r="F60" s="19"/>
      <c r="G60" s="20"/>
      <c r="H60" s="21"/>
      <c r="K60" s="18"/>
      <c r="L60" s="22"/>
      <c r="M60" s="22"/>
      <c r="N60" s="22"/>
    </row>
    <row r="61" ht="14.25" customHeight="1">
      <c r="E61" s="18"/>
      <c r="F61" s="19"/>
      <c r="G61" s="20"/>
      <c r="H61" s="21"/>
      <c r="K61" s="18"/>
      <c r="L61" s="22"/>
      <c r="M61" s="22"/>
      <c r="N61" s="22"/>
    </row>
    <row r="62" ht="14.25" customHeight="1">
      <c r="K62" s="34" t="s">
        <v>29</v>
      </c>
      <c r="L62" s="35">
        <f t="shared" ref="L62:N62" si="29">SUM(L53:L61)</f>
        <v>0</v>
      </c>
      <c r="M62" s="35">
        <f t="shared" si="29"/>
        <v>0</v>
      </c>
      <c r="N62" s="35">
        <f t="shared" si="29"/>
        <v>0</v>
      </c>
    </row>
    <row r="63" ht="14.25" customHeight="1">
      <c r="F63" s="132" t="s">
        <v>102</v>
      </c>
    </row>
    <row r="64" ht="14.25" customHeight="1">
      <c r="F64" s="133"/>
    </row>
    <row r="65" ht="14.25" customHeight="1">
      <c r="F65" s="133"/>
      <c r="R65" s="36" t="s">
        <v>68</v>
      </c>
      <c r="S65" s="37"/>
      <c r="T65" s="37"/>
      <c r="U65" s="28"/>
    </row>
    <row r="66" ht="14.25" customHeight="1">
      <c r="F66" s="133"/>
      <c r="R66" s="40" t="s">
        <v>33</v>
      </c>
      <c r="S66" s="41"/>
      <c r="T66" s="41"/>
      <c r="U66" s="42"/>
    </row>
    <row r="67" ht="14.25" customHeight="1">
      <c r="F67" s="133"/>
      <c r="R67" s="11" t="s">
        <v>34</v>
      </c>
      <c r="S67" s="11" t="s">
        <v>18</v>
      </c>
      <c r="T67" s="11" t="s">
        <v>19</v>
      </c>
      <c r="U67" s="11" t="s">
        <v>20</v>
      </c>
    </row>
    <row r="68" ht="14.25" customHeight="1">
      <c r="E68" s="8" t="s">
        <v>103</v>
      </c>
      <c r="R68" s="90" t="s">
        <v>22</v>
      </c>
      <c r="S68" s="46"/>
      <c r="T68" s="46"/>
      <c r="U68" s="46"/>
    </row>
    <row r="69" ht="14.25" customHeight="1">
      <c r="A69" s="97" t="s">
        <v>5</v>
      </c>
      <c r="B69" s="37"/>
      <c r="C69" s="28"/>
      <c r="E69" s="10" t="s">
        <v>6</v>
      </c>
      <c r="F69" s="10"/>
      <c r="G69" s="10"/>
      <c r="H69" s="10"/>
      <c r="K69" s="9" t="s">
        <v>7</v>
      </c>
      <c r="L69" s="9"/>
      <c r="M69" s="9"/>
      <c r="N69" s="9"/>
      <c r="R69" s="90" t="s">
        <v>88</v>
      </c>
      <c r="S69" s="46"/>
      <c r="T69" s="46"/>
      <c r="U69" s="46"/>
    </row>
    <row r="70" ht="14.25" customHeight="1">
      <c r="A70" s="11" t="s">
        <v>11</v>
      </c>
      <c r="B70" s="11" t="s">
        <v>12</v>
      </c>
      <c r="C70" s="11" t="s">
        <v>13</v>
      </c>
      <c r="E70" s="12" t="s">
        <v>14</v>
      </c>
      <c r="F70" s="12" t="s">
        <v>15</v>
      </c>
      <c r="G70" s="12" t="s">
        <v>11</v>
      </c>
      <c r="H70" s="12" t="s">
        <v>16</v>
      </c>
      <c r="J70" s="126"/>
      <c r="K70" s="11" t="s">
        <v>17</v>
      </c>
      <c r="L70" s="11" t="s">
        <v>18</v>
      </c>
      <c r="M70" s="11" t="s">
        <v>19</v>
      </c>
      <c r="N70" s="11" t="s">
        <v>20</v>
      </c>
      <c r="R70" s="90" t="s">
        <v>88</v>
      </c>
      <c r="S70" s="46"/>
      <c r="T70" s="46"/>
      <c r="U70" s="46"/>
    </row>
    <row r="71" ht="14.25" customHeight="1">
      <c r="A71" s="15" t="s">
        <v>22</v>
      </c>
      <c r="B71" s="16">
        <f t="shared" ref="B71:B75" si="30">COUNTIF($G$53:$G$61,A71)</f>
        <v>0</v>
      </c>
      <c r="C71" s="17"/>
      <c r="E71" s="18"/>
      <c r="F71" s="19"/>
      <c r="G71" s="20"/>
      <c r="H71" s="21"/>
      <c r="I71" s="126"/>
      <c r="J71" s="126"/>
      <c r="K71" s="18"/>
      <c r="L71" s="14"/>
      <c r="M71" s="14"/>
      <c r="N71" s="14"/>
      <c r="R71" s="90" t="s">
        <v>85</v>
      </c>
      <c r="S71" s="46"/>
      <c r="T71" s="46"/>
      <c r="U71" s="46"/>
    </row>
    <row r="72" ht="14.25" customHeight="1">
      <c r="A72" s="15" t="s">
        <v>83</v>
      </c>
      <c r="B72" s="16">
        <f t="shared" si="30"/>
        <v>0</v>
      </c>
      <c r="C72" s="17"/>
      <c r="E72" s="18"/>
      <c r="F72" s="19"/>
      <c r="G72" s="20"/>
      <c r="H72" s="21"/>
      <c r="I72" s="126"/>
      <c r="K72" s="18"/>
      <c r="L72" s="22"/>
      <c r="M72" s="22"/>
      <c r="N72" s="22"/>
      <c r="R72" s="90" t="s">
        <v>85</v>
      </c>
      <c r="S72" s="46"/>
      <c r="T72" s="46"/>
      <c r="U72" s="46"/>
    </row>
    <row r="73" ht="14.25" customHeight="1">
      <c r="A73" s="15" t="s">
        <v>85</v>
      </c>
      <c r="B73" s="16">
        <f t="shared" si="30"/>
        <v>0</v>
      </c>
      <c r="C73" s="17"/>
      <c r="E73" s="18"/>
      <c r="F73" s="19"/>
      <c r="G73" s="20"/>
      <c r="H73" s="21"/>
      <c r="K73" s="18"/>
      <c r="L73" s="22"/>
      <c r="M73" s="22"/>
      <c r="N73" s="22"/>
      <c r="R73" s="90" t="s">
        <v>83</v>
      </c>
      <c r="S73" s="46"/>
      <c r="T73" s="46"/>
      <c r="U73" s="46"/>
    </row>
    <row r="74" ht="14.25" customHeight="1">
      <c r="A74" s="15" t="s">
        <v>82</v>
      </c>
      <c r="B74" s="16">
        <f t="shared" si="30"/>
        <v>0</v>
      </c>
      <c r="C74" s="17"/>
      <c r="D74" s="131"/>
      <c r="E74" s="18"/>
      <c r="F74" s="19"/>
      <c r="G74" s="20"/>
      <c r="H74" s="21"/>
      <c r="K74" s="18"/>
      <c r="L74" s="22"/>
      <c r="M74" s="22"/>
      <c r="N74" s="22"/>
      <c r="R74" s="90" t="s">
        <v>82</v>
      </c>
      <c r="S74" s="46"/>
      <c r="T74" s="46"/>
      <c r="U74" s="46"/>
    </row>
    <row r="75" ht="14.25" customHeight="1">
      <c r="A75" s="15" t="s">
        <v>88</v>
      </c>
      <c r="B75" s="16">
        <f t="shared" si="30"/>
        <v>0</v>
      </c>
      <c r="C75" s="17"/>
      <c r="D75" s="131"/>
      <c r="E75" s="18"/>
      <c r="F75" s="19"/>
      <c r="G75" s="20"/>
      <c r="H75" s="21"/>
      <c r="K75" s="18"/>
      <c r="L75" s="22"/>
      <c r="M75" s="22"/>
      <c r="N75" s="22"/>
      <c r="R75" s="90" t="s">
        <v>82</v>
      </c>
      <c r="S75" s="46"/>
      <c r="T75" s="46"/>
      <c r="U75" s="46"/>
    </row>
    <row r="76" ht="14.25" customHeight="1">
      <c r="A76" s="24" t="s">
        <v>29</v>
      </c>
      <c r="B76" s="25">
        <f>SUM(B71:B75)</f>
        <v>0</v>
      </c>
      <c r="C76" s="26" t="str">
        <f>AVERAGE(C71:C75)</f>
        <v>#DIV/0!</v>
      </c>
      <c r="E76" s="18"/>
      <c r="F76" s="19"/>
      <c r="G76" s="20"/>
      <c r="H76" s="21"/>
      <c r="K76" s="18"/>
      <c r="L76" s="22"/>
      <c r="M76" s="22"/>
      <c r="N76" s="22"/>
      <c r="R76" s="90" t="s">
        <v>82</v>
      </c>
      <c r="S76" s="46"/>
      <c r="T76" s="46"/>
      <c r="U76" s="46"/>
    </row>
    <row r="77" ht="14.25" customHeight="1">
      <c r="E77" s="18"/>
      <c r="F77" s="19"/>
      <c r="G77" s="20"/>
      <c r="H77" s="21"/>
      <c r="K77" s="18"/>
      <c r="L77" s="22"/>
      <c r="M77" s="22"/>
      <c r="N77" s="22"/>
    </row>
    <row r="78" ht="14.25" customHeight="1">
      <c r="E78" s="18"/>
      <c r="F78" s="19"/>
      <c r="G78" s="20"/>
      <c r="H78" s="21"/>
      <c r="K78" s="18"/>
      <c r="L78" s="22"/>
      <c r="M78" s="22"/>
      <c r="N78" s="22"/>
    </row>
    <row r="79" ht="14.25" customHeight="1">
      <c r="E79" s="18"/>
      <c r="F79" s="19"/>
      <c r="G79" s="20"/>
      <c r="H79" s="21"/>
      <c r="K79" s="18"/>
      <c r="L79" s="22"/>
      <c r="M79" s="22"/>
      <c r="N79" s="22"/>
    </row>
    <row r="80" ht="14.25" customHeight="1">
      <c r="K80" s="34" t="s">
        <v>29</v>
      </c>
      <c r="L80" s="35">
        <f t="shared" ref="L80:N80" si="31">SUM(L71:L79)</f>
        <v>0</v>
      </c>
      <c r="M80" s="35">
        <f t="shared" si="31"/>
        <v>0</v>
      </c>
      <c r="N80" s="35">
        <f t="shared" si="31"/>
        <v>0</v>
      </c>
    </row>
    <row r="81" ht="14.25" customHeight="1">
      <c r="F81" s="133"/>
    </row>
    <row r="82" ht="14.25" customHeight="1">
      <c r="F82" s="133"/>
    </row>
    <row r="83" ht="14.25" customHeight="1">
      <c r="F83" s="133"/>
    </row>
    <row r="84" ht="14.25" customHeight="1">
      <c r="F84" s="133"/>
    </row>
    <row r="85" ht="14.25" customHeight="1">
      <c r="F85" s="133"/>
    </row>
    <row r="86" ht="14.25" customHeight="1">
      <c r="F86" s="133"/>
    </row>
    <row r="87" ht="14.25" customHeight="1"/>
    <row r="88" ht="14.25" customHeight="1">
      <c r="A88" s="134" t="s">
        <v>104</v>
      </c>
    </row>
    <row r="89" ht="14.25" customHeight="1">
      <c r="A89" s="135"/>
    </row>
    <row r="90" ht="14.25" customHeight="1"/>
    <row r="91" ht="14.25" customHeight="1">
      <c r="A91" s="136" t="s">
        <v>22</v>
      </c>
      <c r="B91" s="2"/>
      <c r="C91" s="2"/>
      <c r="D91" s="2"/>
      <c r="E91" s="2"/>
      <c r="F91" s="2"/>
      <c r="G91" s="2"/>
      <c r="H91" s="2"/>
      <c r="I91" s="3"/>
    </row>
    <row r="92" ht="14.25" customHeight="1">
      <c r="A92" s="137" t="s">
        <v>105</v>
      </c>
      <c r="B92" s="137" t="s">
        <v>15</v>
      </c>
      <c r="C92" s="137" t="s">
        <v>11</v>
      </c>
      <c r="D92" s="137" t="s">
        <v>106</v>
      </c>
      <c r="F92" s="137" t="s">
        <v>105</v>
      </c>
      <c r="G92" s="137" t="s">
        <v>18</v>
      </c>
      <c r="H92" s="137" t="s">
        <v>19</v>
      </c>
      <c r="I92" s="137" t="s">
        <v>20</v>
      </c>
    </row>
    <row r="93" ht="14.25" customHeight="1">
      <c r="A93" s="138">
        <f t="shared" ref="A93:B93" si="32">E6</f>
        <v>10394</v>
      </c>
      <c r="B93" s="139">
        <f t="shared" si="32"/>
        <v>46266</v>
      </c>
      <c r="C93" s="138" t="s">
        <v>22</v>
      </c>
      <c r="D93" s="140">
        <f>H6</f>
        <v>0.7229</v>
      </c>
      <c r="F93" s="138">
        <f t="shared" ref="F93:F94" si="35">A93</f>
        <v>10394</v>
      </c>
      <c r="G93" s="141">
        <f t="shared" ref="G93:I93" si="33">L6</f>
        <v>80326</v>
      </c>
      <c r="H93" s="141">
        <f t="shared" si="33"/>
        <v>15039</v>
      </c>
      <c r="I93" s="141">
        <f t="shared" si="33"/>
        <v>387</v>
      </c>
    </row>
    <row r="94" ht="14.25" customHeight="1">
      <c r="A94" s="138">
        <f t="shared" ref="A94:B94" si="34">E22</f>
        <v>10411</v>
      </c>
      <c r="B94" s="139">
        <f t="shared" si="34"/>
        <v>46273</v>
      </c>
      <c r="C94" s="138" t="s">
        <v>22</v>
      </c>
      <c r="D94" s="140">
        <f>H22</f>
        <v>0.7059</v>
      </c>
      <c r="F94" s="138">
        <f t="shared" si="35"/>
        <v>10411</v>
      </c>
      <c r="G94" s="141">
        <f t="shared" ref="G94:I94" si="36">L22</f>
        <v>89998</v>
      </c>
      <c r="H94" s="141">
        <f t="shared" si="36"/>
        <v>12257</v>
      </c>
      <c r="I94" s="141">
        <f t="shared" si="36"/>
        <v>316</v>
      </c>
    </row>
    <row r="95" ht="14.25" customHeight="1">
      <c r="A95" s="138"/>
      <c r="B95" s="139"/>
      <c r="C95" s="138" t="s">
        <v>22</v>
      </c>
      <c r="D95" s="140"/>
      <c r="F95" s="138"/>
      <c r="G95" s="141"/>
      <c r="H95" s="141"/>
      <c r="I95" s="141"/>
    </row>
    <row r="96" ht="14.25" customHeight="1">
      <c r="A96" s="138"/>
      <c r="B96" s="139"/>
      <c r="C96" s="138" t="s">
        <v>22</v>
      </c>
      <c r="D96" s="142"/>
      <c r="F96" s="138"/>
      <c r="G96" s="141"/>
      <c r="H96" s="141"/>
      <c r="I96" s="141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>
      <c r="A111" s="136" t="s">
        <v>83</v>
      </c>
      <c r="B111" s="2"/>
      <c r="C111" s="2"/>
      <c r="D111" s="2"/>
      <c r="E111" s="2"/>
      <c r="F111" s="2"/>
      <c r="G111" s="2"/>
      <c r="H111" s="2"/>
      <c r="I111" s="3"/>
    </row>
    <row r="112" ht="14.25" customHeight="1">
      <c r="A112" s="137" t="s">
        <v>105</v>
      </c>
      <c r="B112" s="137" t="s">
        <v>15</v>
      </c>
      <c r="C112" s="137" t="s">
        <v>11</v>
      </c>
      <c r="D112" s="137" t="s">
        <v>106</v>
      </c>
      <c r="F112" s="137" t="s">
        <v>105</v>
      </c>
      <c r="G112" s="137" t="s">
        <v>18</v>
      </c>
      <c r="H112" s="137" t="s">
        <v>19</v>
      </c>
      <c r="I112" s="137" t="s">
        <v>20</v>
      </c>
    </row>
    <row r="113" ht="14.25" customHeight="1">
      <c r="A113" s="138">
        <f t="shared" ref="A113:B113" si="37">E14</f>
        <v>10408</v>
      </c>
      <c r="B113" s="143">
        <f t="shared" si="37"/>
        <v>46269</v>
      </c>
      <c r="C113" s="138" t="s">
        <v>83</v>
      </c>
      <c r="D113" s="140">
        <f>H14</f>
        <v>0.6262</v>
      </c>
      <c r="F113" s="138">
        <f t="shared" ref="F113:F114" si="40">A113</f>
        <v>10408</v>
      </c>
      <c r="G113" s="141">
        <f t="shared" ref="G113:I113" si="38">L14</f>
        <v>77864</v>
      </c>
      <c r="H113" s="141">
        <f t="shared" si="38"/>
        <v>9553</v>
      </c>
      <c r="I113" s="141">
        <f t="shared" si="38"/>
        <v>216</v>
      </c>
    </row>
    <row r="114" ht="14.25" customHeight="1">
      <c r="A114" s="138">
        <f t="shared" ref="A114:B114" si="39">E29</f>
        <v>10425</v>
      </c>
      <c r="B114" s="143">
        <f t="shared" si="39"/>
        <v>46276</v>
      </c>
      <c r="C114" s="138" t="s">
        <v>83</v>
      </c>
      <c r="D114" s="140">
        <f>H29</f>
        <v>0.6014</v>
      </c>
      <c r="F114" s="138">
        <f t="shared" si="40"/>
        <v>10425</v>
      </c>
      <c r="G114" s="141">
        <f t="shared" ref="G114:I114" si="41">L29</f>
        <v>78274</v>
      </c>
      <c r="H114" s="141">
        <f t="shared" si="41"/>
        <v>9102</v>
      </c>
      <c r="I114" s="141">
        <f t="shared" si="41"/>
        <v>137</v>
      </c>
    </row>
    <row r="115" ht="14.25" customHeight="1">
      <c r="A115" s="138"/>
      <c r="B115" s="139"/>
      <c r="C115" s="138" t="s">
        <v>83</v>
      </c>
      <c r="D115" s="140"/>
      <c r="F115" s="138"/>
      <c r="G115" s="141"/>
      <c r="H115" s="141"/>
      <c r="I115" s="141"/>
    </row>
    <row r="116" ht="14.25" customHeight="1">
      <c r="A116" s="138"/>
      <c r="B116" s="139"/>
      <c r="C116" s="138" t="s">
        <v>83</v>
      </c>
      <c r="D116" s="140"/>
      <c r="F116" s="138"/>
      <c r="G116" s="141"/>
      <c r="H116" s="141"/>
      <c r="I116" s="141"/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>
      <c r="A131" s="136" t="s">
        <v>85</v>
      </c>
      <c r="B131" s="2"/>
      <c r="C131" s="2"/>
      <c r="D131" s="2"/>
      <c r="E131" s="2"/>
      <c r="F131" s="2"/>
      <c r="G131" s="2"/>
      <c r="H131" s="2"/>
      <c r="I131" s="3"/>
    </row>
    <row r="132" ht="14.25" customHeight="1">
      <c r="A132" s="137" t="s">
        <v>105</v>
      </c>
      <c r="B132" s="137" t="s">
        <v>15</v>
      </c>
      <c r="C132" s="137" t="s">
        <v>11</v>
      </c>
      <c r="D132" s="137" t="s">
        <v>106</v>
      </c>
      <c r="F132" s="137" t="s">
        <v>105</v>
      </c>
      <c r="G132" s="137" t="s">
        <v>18</v>
      </c>
      <c r="H132" s="137" t="s">
        <v>19</v>
      </c>
      <c r="I132" s="137" t="s">
        <v>20</v>
      </c>
    </row>
    <row r="133" ht="14.25" customHeight="1">
      <c r="A133" s="138">
        <f t="shared" ref="A133:B133" si="42">E11</f>
        <v>10404</v>
      </c>
      <c r="B133" s="139">
        <f t="shared" si="42"/>
        <v>46268</v>
      </c>
      <c r="C133" s="138" t="s">
        <v>85</v>
      </c>
      <c r="D133" s="140">
        <f>H11</f>
        <v>0.7143</v>
      </c>
      <c r="F133" s="138">
        <f t="shared" ref="F133:F140" si="44">A133</f>
        <v>10404</v>
      </c>
      <c r="G133" s="141">
        <f t="shared" ref="G133:I133" si="43">L11</f>
        <v>49231</v>
      </c>
      <c r="H133" s="141">
        <f t="shared" si="43"/>
        <v>9993</v>
      </c>
      <c r="I133" s="141">
        <f t="shared" si="43"/>
        <v>412</v>
      </c>
    </row>
    <row r="134" ht="14.25" customHeight="1">
      <c r="A134" s="138">
        <f>E13</f>
        <v>10409</v>
      </c>
      <c r="B134" s="139">
        <f>F14</f>
        <v>46269</v>
      </c>
      <c r="C134" s="138" t="s">
        <v>85</v>
      </c>
      <c r="D134" s="140">
        <f>H13</f>
        <v>0.4207</v>
      </c>
      <c r="F134" s="138">
        <f t="shared" si="44"/>
        <v>10409</v>
      </c>
      <c r="G134" s="141">
        <f t="shared" ref="G134:I134" si="45">L14</f>
        <v>77864</v>
      </c>
      <c r="H134" s="141">
        <f t="shared" si="45"/>
        <v>9553</v>
      </c>
      <c r="I134" s="141">
        <f t="shared" si="45"/>
        <v>216</v>
      </c>
    </row>
    <row r="135" ht="14.25" customHeight="1">
      <c r="A135" s="138">
        <f t="shared" ref="A135:B135" si="46">E27</f>
        <v>10422</v>
      </c>
      <c r="B135" s="139">
        <f t="shared" si="46"/>
        <v>46275</v>
      </c>
      <c r="C135" s="138" t="s">
        <v>85</v>
      </c>
      <c r="D135" s="140">
        <f t="shared" ref="D135:D136" si="49">H27</f>
        <v>0.6477</v>
      </c>
      <c r="F135" s="138">
        <f t="shared" si="44"/>
        <v>10422</v>
      </c>
      <c r="G135" s="141">
        <f t="shared" ref="G135:I135" si="47">L27</f>
        <v>47980</v>
      </c>
      <c r="H135" s="141">
        <f t="shared" si="47"/>
        <v>6810</v>
      </c>
      <c r="I135" s="141">
        <f t="shared" si="47"/>
        <v>241</v>
      </c>
    </row>
    <row r="136" ht="14.25" customHeight="1">
      <c r="A136" s="138">
        <f t="shared" ref="A136:B136" si="48">E28</f>
        <v>10426</v>
      </c>
      <c r="B136" s="139">
        <f t="shared" si="48"/>
        <v>46276</v>
      </c>
      <c r="C136" s="138" t="s">
        <v>85</v>
      </c>
      <c r="D136" s="140">
        <f t="shared" si="49"/>
        <v>0.4593</v>
      </c>
      <c r="F136" s="138">
        <f t="shared" si="44"/>
        <v>10426</v>
      </c>
      <c r="G136" s="141">
        <f t="shared" ref="G136:I136" si="50">L28</f>
        <v>40951</v>
      </c>
      <c r="H136" s="141">
        <f t="shared" si="50"/>
        <v>6723</v>
      </c>
      <c r="I136" s="141">
        <f t="shared" si="50"/>
        <v>113</v>
      </c>
    </row>
    <row r="137" ht="14.25" customHeight="1">
      <c r="A137" s="138"/>
      <c r="B137" s="139"/>
      <c r="C137" s="138" t="s">
        <v>85</v>
      </c>
      <c r="D137" s="140"/>
      <c r="F137" s="138" t="str">
        <f t="shared" si="44"/>
        <v/>
      </c>
      <c r="G137" s="141"/>
      <c r="H137" s="141"/>
      <c r="I137" s="141"/>
    </row>
    <row r="138" ht="14.25" customHeight="1">
      <c r="A138" s="138"/>
      <c r="B138" s="139"/>
      <c r="C138" s="138" t="s">
        <v>85</v>
      </c>
      <c r="D138" s="140"/>
      <c r="F138" s="138" t="str">
        <f t="shared" si="44"/>
        <v/>
      </c>
      <c r="G138" s="141"/>
      <c r="H138" s="141"/>
      <c r="I138" s="141"/>
    </row>
    <row r="139" ht="14.25" customHeight="1">
      <c r="A139" s="138"/>
      <c r="B139" s="139"/>
      <c r="C139" s="138" t="s">
        <v>85</v>
      </c>
      <c r="D139" s="142"/>
      <c r="F139" s="138" t="str">
        <f t="shared" si="44"/>
        <v/>
      </c>
      <c r="G139" s="141"/>
      <c r="H139" s="141"/>
      <c r="I139" s="141"/>
    </row>
    <row r="140" ht="14.25" customHeight="1">
      <c r="A140" s="138"/>
      <c r="B140" s="139"/>
      <c r="C140" s="138" t="s">
        <v>85</v>
      </c>
      <c r="D140" s="142"/>
      <c r="F140" s="138" t="str">
        <f t="shared" si="44"/>
        <v/>
      </c>
      <c r="G140" s="141"/>
      <c r="H140" s="141"/>
      <c r="I140" s="141"/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>
      <c r="A151" s="136" t="s">
        <v>82</v>
      </c>
      <c r="B151" s="2"/>
      <c r="C151" s="2"/>
      <c r="D151" s="2"/>
      <c r="E151" s="2"/>
      <c r="F151" s="2"/>
      <c r="G151" s="2"/>
      <c r="H151" s="2"/>
      <c r="I151" s="3"/>
    </row>
    <row r="152" ht="14.25" customHeight="1">
      <c r="A152" s="137" t="s">
        <v>105</v>
      </c>
      <c r="B152" s="137" t="s">
        <v>15</v>
      </c>
      <c r="C152" s="137" t="s">
        <v>11</v>
      </c>
      <c r="D152" s="137" t="s">
        <v>106</v>
      </c>
      <c r="F152" s="137" t="s">
        <v>105</v>
      </c>
      <c r="G152" s="137" t="s">
        <v>18</v>
      </c>
      <c r="H152" s="137" t="s">
        <v>19</v>
      </c>
      <c r="I152" s="137" t="s">
        <v>20</v>
      </c>
    </row>
    <row r="153" ht="14.25" customHeight="1">
      <c r="A153" s="138">
        <f t="shared" ref="A153:B153" si="51">E5</f>
        <v>10392</v>
      </c>
      <c r="B153" s="139">
        <f t="shared" si="51"/>
        <v>46265</v>
      </c>
      <c r="C153" s="138" t="s">
        <v>82</v>
      </c>
      <c r="D153" s="140">
        <f>H5</f>
        <v>0.8133</v>
      </c>
      <c r="F153" s="138">
        <f t="shared" ref="F153:F160" si="54">A153</f>
        <v>10392</v>
      </c>
      <c r="G153" s="141">
        <f t="shared" ref="G153:I153" si="52">L5</f>
        <v>61762</v>
      </c>
      <c r="H153" s="141">
        <f t="shared" si="52"/>
        <v>10985</v>
      </c>
      <c r="I153" s="141">
        <f t="shared" si="52"/>
        <v>389</v>
      </c>
    </row>
    <row r="154" ht="14.25" customHeight="1">
      <c r="A154" s="138">
        <f t="shared" ref="A154:B154" si="53">E9</f>
        <v>10397</v>
      </c>
      <c r="B154" s="139">
        <f t="shared" si="53"/>
        <v>46267</v>
      </c>
      <c r="C154" s="138" t="s">
        <v>82</v>
      </c>
      <c r="D154" s="140">
        <f t="shared" ref="D154:D155" si="57">H9</f>
        <v>0.5865</v>
      </c>
      <c r="F154" s="138">
        <f t="shared" si="54"/>
        <v>10397</v>
      </c>
      <c r="G154" s="141">
        <f t="shared" ref="G154:I154" si="55">L9</f>
        <v>67488</v>
      </c>
      <c r="H154" s="141">
        <f t="shared" si="55"/>
        <v>12371</v>
      </c>
      <c r="I154" s="141">
        <f t="shared" si="55"/>
        <v>312</v>
      </c>
    </row>
    <row r="155" ht="14.25" customHeight="1">
      <c r="A155" s="138">
        <f t="shared" ref="A155:B155" si="56">E10</f>
        <v>10398</v>
      </c>
      <c r="B155" s="139">
        <f t="shared" si="56"/>
        <v>46267</v>
      </c>
      <c r="C155" s="138" t="s">
        <v>82</v>
      </c>
      <c r="D155" s="140">
        <f t="shared" si="57"/>
        <v>0.6506</v>
      </c>
      <c r="F155" s="138">
        <f t="shared" si="54"/>
        <v>10398</v>
      </c>
      <c r="G155" s="141">
        <f t="shared" ref="G155:I155" si="58">L10</f>
        <v>54833</v>
      </c>
      <c r="H155" s="141">
        <f t="shared" si="58"/>
        <v>9962</v>
      </c>
      <c r="I155" s="141">
        <f t="shared" si="58"/>
        <v>292</v>
      </c>
    </row>
    <row r="156" ht="14.25" customHeight="1">
      <c r="A156" s="138">
        <f t="shared" ref="A156:B156" si="59">E12</f>
        <v>10183</v>
      </c>
      <c r="B156" s="139">
        <f t="shared" si="59"/>
        <v>46268</v>
      </c>
      <c r="C156" s="138" t="s">
        <v>82</v>
      </c>
      <c r="D156" s="140">
        <f>H12</f>
        <v>0.4902</v>
      </c>
      <c r="F156" s="138">
        <f t="shared" si="54"/>
        <v>10183</v>
      </c>
      <c r="G156" s="141">
        <f t="shared" ref="G156:I156" si="60">L12</f>
        <v>17306</v>
      </c>
      <c r="H156" s="141">
        <f t="shared" si="60"/>
        <v>5495</v>
      </c>
      <c r="I156" s="141">
        <f t="shared" si="60"/>
        <v>100</v>
      </c>
    </row>
    <row r="157" ht="14.25" customHeight="1">
      <c r="A157" s="138">
        <f t="shared" ref="A157:B157" si="61">E25</f>
        <v>10414</v>
      </c>
      <c r="B157" s="139">
        <f t="shared" si="61"/>
        <v>46274</v>
      </c>
      <c r="C157" s="138" t="s">
        <v>82</v>
      </c>
      <c r="D157" s="140">
        <f t="shared" ref="D157:D158" si="64">H25</f>
        <v>0.6089</v>
      </c>
      <c r="F157" s="138">
        <f t="shared" si="54"/>
        <v>10414</v>
      </c>
      <c r="G157" s="141">
        <f t="shared" ref="G157:I157" si="62">L25</f>
        <v>74673</v>
      </c>
      <c r="H157" s="141">
        <f t="shared" si="62"/>
        <v>8678</v>
      </c>
      <c r="I157" s="141">
        <f t="shared" si="62"/>
        <v>198</v>
      </c>
    </row>
    <row r="158" ht="14.25" customHeight="1">
      <c r="A158" s="138">
        <f t="shared" ref="A158:B158" si="63">E26</f>
        <v>10415</v>
      </c>
      <c r="B158" s="139">
        <f t="shared" si="63"/>
        <v>46274</v>
      </c>
      <c r="C158" s="138" t="s">
        <v>82</v>
      </c>
      <c r="D158" s="140">
        <f t="shared" si="64"/>
        <v>0.6087</v>
      </c>
      <c r="F158" s="138">
        <f t="shared" si="54"/>
        <v>10415</v>
      </c>
      <c r="G158" s="141">
        <f t="shared" ref="G158:I158" si="65">L26</f>
        <v>52266</v>
      </c>
      <c r="H158" s="141">
        <f t="shared" si="65"/>
        <v>7104</v>
      </c>
      <c r="I158" s="141">
        <f t="shared" si="65"/>
        <v>90</v>
      </c>
    </row>
    <row r="159" ht="14.25" customHeight="1">
      <c r="A159" s="138"/>
      <c r="B159" s="139"/>
      <c r="C159" s="138" t="s">
        <v>82</v>
      </c>
      <c r="D159" s="140"/>
      <c r="F159" s="138" t="str">
        <f t="shared" si="54"/>
        <v/>
      </c>
      <c r="G159" s="141"/>
      <c r="H159" s="141"/>
      <c r="I159" s="141"/>
    </row>
    <row r="160" ht="14.25" customHeight="1">
      <c r="A160" s="138"/>
      <c r="B160" s="139"/>
      <c r="C160" s="138" t="s">
        <v>82</v>
      </c>
      <c r="D160" s="140"/>
      <c r="F160" s="138" t="str">
        <f t="shared" si="54"/>
        <v/>
      </c>
      <c r="G160" s="141"/>
      <c r="H160" s="141"/>
      <c r="I160" s="141"/>
    </row>
    <row r="161" ht="14.25" customHeight="1">
      <c r="A161" s="138"/>
      <c r="B161" s="139"/>
      <c r="C161" s="138" t="s">
        <v>82</v>
      </c>
      <c r="D161" s="140"/>
      <c r="F161" s="138"/>
      <c r="G161" s="141"/>
      <c r="H161" s="141"/>
      <c r="I161" s="141"/>
    </row>
    <row r="162" ht="14.25" customHeight="1">
      <c r="A162" s="138"/>
      <c r="B162" s="139"/>
      <c r="C162" s="138" t="s">
        <v>82</v>
      </c>
      <c r="D162" s="140"/>
      <c r="F162" s="138"/>
      <c r="G162" s="141"/>
      <c r="H162" s="141"/>
      <c r="I162" s="141"/>
    </row>
    <row r="163" ht="14.25" customHeight="1">
      <c r="A163" s="138"/>
      <c r="B163" s="139"/>
      <c r="C163" s="138" t="s">
        <v>82</v>
      </c>
      <c r="D163" s="140"/>
      <c r="F163" s="138"/>
      <c r="G163" s="141"/>
      <c r="H163" s="141"/>
      <c r="I163" s="141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>
      <c r="A171" s="136" t="s">
        <v>88</v>
      </c>
      <c r="B171" s="2"/>
      <c r="C171" s="2"/>
      <c r="D171" s="2"/>
      <c r="E171" s="2"/>
      <c r="F171" s="2"/>
      <c r="G171" s="2"/>
      <c r="H171" s="2"/>
      <c r="I171" s="3"/>
    </row>
    <row r="172" ht="14.25" customHeight="1">
      <c r="A172" s="137" t="s">
        <v>105</v>
      </c>
      <c r="B172" s="137" t="s">
        <v>15</v>
      </c>
      <c r="C172" s="137" t="s">
        <v>11</v>
      </c>
      <c r="D172" s="137" t="s">
        <v>106</v>
      </c>
      <c r="F172" s="137" t="s">
        <v>105</v>
      </c>
      <c r="G172" s="137" t="s">
        <v>18</v>
      </c>
      <c r="H172" s="137" t="s">
        <v>19</v>
      </c>
      <c r="I172" s="137" t="s">
        <v>20</v>
      </c>
    </row>
    <row r="173" ht="14.25" customHeight="1">
      <c r="A173" s="138">
        <f t="shared" ref="A173:B173" si="66">E7</f>
        <v>10395</v>
      </c>
      <c r="B173" s="139">
        <f t="shared" si="66"/>
        <v>46266</v>
      </c>
      <c r="C173" s="138" t="s">
        <v>88</v>
      </c>
      <c r="D173" s="140">
        <f t="shared" ref="D173:D174" si="69">H7</f>
        <v>0.6107</v>
      </c>
      <c r="F173" s="138">
        <f t="shared" ref="F173:F176" si="70">A173</f>
        <v>10395</v>
      </c>
      <c r="G173" s="141">
        <f t="shared" ref="G173:I173" si="67">L7</f>
        <v>101088</v>
      </c>
      <c r="H173" s="141">
        <f t="shared" si="67"/>
        <v>14809</v>
      </c>
      <c r="I173" s="141">
        <f t="shared" si="67"/>
        <v>384</v>
      </c>
    </row>
    <row r="174" ht="14.25" customHeight="1">
      <c r="A174" s="138">
        <f t="shared" ref="A174:B174" si="68">E8</f>
        <v>10396</v>
      </c>
      <c r="B174" s="139">
        <f t="shared" si="68"/>
        <v>46266</v>
      </c>
      <c r="C174" s="138" t="s">
        <v>88</v>
      </c>
      <c r="D174" s="140">
        <f t="shared" si="69"/>
        <v>0.6435</v>
      </c>
      <c r="F174" s="138">
        <f t="shared" si="70"/>
        <v>10396</v>
      </c>
      <c r="G174" s="141">
        <f t="shared" ref="G174:I174" si="71">L8</f>
        <v>103527</v>
      </c>
      <c r="H174" s="141">
        <f t="shared" si="71"/>
        <v>12863</v>
      </c>
      <c r="I174" s="141">
        <f t="shared" si="71"/>
        <v>331</v>
      </c>
    </row>
    <row r="175" ht="14.25" customHeight="1">
      <c r="A175" s="138">
        <f t="shared" ref="A175:B175" si="72">E23</f>
        <v>10412</v>
      </c>
      <c r="B175" s="139">
        <f t="shared" si="72"/>
        <v>46273</v>
      </c>
      <c r="C175" s="138" t="s">
        <v>88</v>
      </c>
      <c r="D175" s="140">
        <f t="shared" ref="D175:D176" si="75">H23</f>
        <v>0.5266</v>
      </c>
      <c r="F175" s="138">
        <f t="shared" si="70"/>
        <v>10412</v>
      </c>
      <c r="G175" s="141">
        <f t="shared" ref="G175:I175" si="73">L23</f>
        <v>72243</v>
      </c>
      <c r="H175" s="141">
        <f t="shared" si="73"/>
        <v>8769</v>
      </c>
      <c r="I175" s="141">
        <f t="shared" si="73"/>
        <v>173</v>
      </c>
    </row>
    <row r="176" ht="14.25" customHeight="1">
      <c r="A176" s="138">
        <f t="shared" ref="A176:B176" si="74">E24</f>
        <v>10413</v>
      </c>
      <c r="B176" s="139">
        <f t="shared" si="74"/>
        <v>46273</v>
      </c>
      <c r="C176" s="138" t="s">
        <v>88</v>
      </c>
      <c r="D176" s="140">
        <f t="shared" si="75"/>
        <v>0.5721</v>
      </c>
      <c r="F176" s="138">
        <f t="shared" si="70"/>
        <v>10413</v>
      </c>
      <c r="G176" s="141">
        <f t="shared" ref="G176:I176" si="76">L24</f>
        <v>62770</v>
      </c>
      <c r="H176" s="141">
        <f t="shared" si="76"/>
        <v>6877</v>
      </c>
      <c r="I176" s="141">
        <f t="shared" si="76"/>
        <v>73</v>
      </c>
    </row>
    <row r="177" ht="14.25" customHeight="1">
      <c r="A177" s="138"/>
      <c r="B177" s="139"/>
      <c r="C177" s="138" t="s">
        <v>88</v>
      </c>
      <c r="D177" s="140"/>
      <c r="F177" s="138"/>
      <c r="G177" s="141"/>
      <c r="H177" s="141"/>
      <c r="I177" s="141"/>
    </row>
    <row r="178" ht="14.25" customHeight="1">
      <c r="A178" s="138"/>
      <c r="B178" s="139"/>
      <c r="C178" s="138" t="s">
        <v>88</v>
      </c>
      <c r="D178" s="140"/>
      <c r="F178" s="138"/>
      <c r="G178" s="141"/>
      <c r="H178" s="141"/>
      <c r="I178" s="141"/>
    </row>
    <row r="179" ht="14.25" customHeight="1">
      <c r="A179" s="138"/>
      <c r="B179" s="139"/>
      <c r="C179" s="138" t="s">
        <v>88</v>
      </c>
      <c r="D179" s="140"/>
      <c r="F179" s="138"/>
      <c r="G179" s="141"/>
      <c r="H179" s="141"/>
      <c r="I179" s="141"/>
    </row>
    <row r="180" ht="14.25" customHeight="1">
      <c r="A180" s="138"/>
      <c r="B180" s="139"/>
      <c r="C180" s="138" t="s">
        <v>88</v>
      </c>
      <c r="D180" s="140"/>
      <c r="F180" s="138"/>
      <c r="G180" s="141"/>
      <c r="H180" s="141"/>
      <c r="I180" s="141"/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R9:U9"/>
    <mergeCell ref="R28:U28"/>
    <mergeCell ref="R29:U29"/>
    <mergeCell ref="R48:U48"/>
    <mergeCell ref="R49:U49"/>
    <mergeCell ref="R65:U65"/>
    <mergeCell ref="R66:U66"/>
    <mergeCell ref="A1:E1"/>
    <mergeCell ref="E2:I2"/>
    <mergeCell ref="A3:C3"/>
    <mergeCell ref="K3:N3"/>
    <mergeCell ref="R8:U8"/>
    <mergeCell ref="E18:H18"/>
    <mergeCell ref="A19:C19"/>
    <mergeCell ref="A88:I88"/>
    <mergeCell ref="A91:I91"/>
    <mergeCell ref="A111:I111"/>
    <mergeCell ref="A131:I131"/>
    <mergeCell ref="A151:I151"/>
    <mergeCell ref="A171:I171"/>
    <mergeCell ref="E34:H34"/>
    <mergeCell ref="A35:C35"/>
    <mergeCell ref="E50:H50"/>
    <mergeCell ref="A51:C51"/>
    <mergeCell ref="E68:H68"/>
    <mergeCell ref="A69:C69"/>
    <mergeCell ref="A89:U89"/>
  </mergeCells>
  <dataValidations>
    <dataValidation type="list" allowBlank="1" sqref="G5:G14 G21:G29 G37:G45 G53:G61 G71:G79">
      <formula1>"Porto,Bradesco,Santander,Goiânia,Curitiba"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4" width="8.71"/>
    <col customWidth="1" min="5" max="5" width="10.86"/>
    <col customWidth="1" min="6" max="6" width="11.71"/>
    <col customWidth="1" min="7" max="7" width="7.14"/>
    <col customWidth="1" min="8" max="8" width="15.29"/>
    <col customWidth="1" min="9" max="9" width="3.43"/>
    <col customWidth="1" min="10" max="10" width="7.86"/>
    <col customWidth="1" min="11" max="11" width="12.71"/>
    <col customWidth="1" min="12" max="12" width="8.71"/>
    <col customWidth="1" min="13" max="13" width="2.86"/>
    <col customWidth="1" min="14" max="14" width="14.14"/>
    <col customWidth="1" min="15" max="15" width="8.71"/>
    <col customWidth="1" min="16" max="16" width="13.14"/>
    <col customWidth="1" min="17" max="17" width="8.86"/>
    <col customWidth="1" min="18" max="18" width="12.0"/>
    <col customWidth="1" min="19" max="19" width="10.0"/>
    <col customWidth="1" min="20" max="20" width="9.43"/>
    <col customWidth="1" min="21" max="21" width="14.14"/>
    <col customWidth="1" min="22" max="22" width="8.71"/>
    <col customWidth="1" min="23" max="23" width="9.43"/>
    <col customWidth="1" min="24" max="24" width="14.14"/>
    <col customWidth="1" min="25" max="25" width="11.57"/>
    <col customWidth="1" min="26" max="26" width="10.43"/>
    <col customWidth="1" min="27" max="27" width="8.71"/>
    <col customWidth="1" min="28" max="28" width="8.0"/>
    <col customWidth="1" min="29" max="29" width="10.0"/>
    <col customWidth="1" min="30" max="30" width="11.43"/>
    <col customWidth="1" min="31" max="31" width="12.29"/>
    <col customWidth="1" min="32" max="33" width="8.71"/>
  </cols>
  <sheetData>
    <row r="1" ht="14.25" customHeight="1">
      <c r="A1" s="1" t="s">
        <v>0</v>
      </c>
      <c r="B1" s="2"/>
      <c r="C1" s="3"/>
    </row>
    <row r="2" ht="14.25" customHeight="1"/>
    <row r="3" ht="14.25" customHeight="1">
      <c r="A3" s="4" t="s">
        <v>1</v>
      </c>
      <c r="B3" s="2"/>
      <c r="C3" s="2"/>
      <c r="D3" s="2"/>
      <c r="E3" s="3"/>
      <c r="F3" s="4"/>
      <c r="G3" s="2"/>
      <c r="H3" s="2"/>
      <c r="I3" s="2"/>
      <c r="J3" s="3"/>
      <c r="K3" s="5"/>
      <c r="L3" s="5"/>
      <c r="M3" s="5"/>
      <c r="N3" s="5" t="s">
        <v>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6"/>
      <c r="AG3" s="6"/>
    </row>
    <row r="4" ht="14.25" customHeight="1">
      <c r="A4" s="7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 t="s">
        <v>4</v>
      </c>
      <c r="AA4" s="6"/>
      <c r="AB4" s="6"/>
      <c r="AC4" s="6"/>
      <c r="AD4" s="6"/>
      <c r="AE4" s="6"/>
      <c r="AF4" s="6"/>
      <c r="AG4" s="6"/>
    </row>
    <row r="5" ht="14.25" customHeight="1">
      <c r="A5" s="8" t="s">
        <v>4</v>
      </c>
      <c r="F5" s="6"/>
      <c r="G5" s="6"/>
      <c r="H5" s="6"/>
      <c r="I5" s="6"/>
      <c r="J5" s="6"/>
      <c r="K5" s="6"/>
      <c r="L5" s="6"/>
      <c r="M5" s="6"/>
      <c r="N5" s="9" t="s">
        <v>5</v>
      </c>
      <c r="O5" s="9"/>
      <c r="P5" s="9"/>
      <c r="Q5" s="6"/>
      <c r="R5" s="10" t="s">
        <v>6</v>
      </c>
      <c r="S5" s="10"/>
      <c r="T5" s="10"/>
      <c r="U5" s="10"/>
      <c r="V5" s="6"/>
      <c r="W5" s="9" t="s">
        <v>7</v>
      </c>
      <c r="X5" s="9"/>
      <c r="Y5" s="9"/>
      <c r="Z5" s="9"/>
      <c r="AA5" s="6"/>
      <c r="AB5" s="6"/>
      <c r="AC5" s="6"/>
      <c r="AD5" s="6"/>
      <c r="AE5" s="6"/>
      <c r="AF5" s="6"/>
      <c r="AG5" s="6"/>
    </row>
    <row r="6" ht="17.25" customHeight="1">
      <c r="A6" s="11" t="s">
        <v>8</v>
      </c>
      <c r="B6" s="11" t="s">
        <v>9</v>
      </c>
      <c r="C6" s="6"/>
      <c r="D6" s="11" t="s">
        <v>8</v>
      </c>
      <c r="E6" s="11" t="s">
        <v>10</v>
      </c>
      <c r="F6" s="6"/>
      <c r="G6" s="6"/>
      <c r="H6" s="6"/>
      <c r="I6" s="6"/>
      <c r="J6" s="6"/>
      <c r="K6" s="6"/>
      <c r="L6" s="6"/>
      <c r="M6" s="6"/>
      <c r="N6" s="11" t="s">
        <v>11</v>
      </c>
      <c r="O6" s="11" t="s">
        <v>12</v>
      </c>
      <c r="P6" s="11" t="s">
        <v>13</v>
      </c>
      <c r="Q6" s="6"/>
      <c r="R6" s="12" t="s">
        <v>14</v>
      </c>
      <c r="S6" s="12" t="s">
        <v>15</v>
      </c>
      <c r="T6" s="12" t="s">
        <v>11</v>
      </c>
      <c r="U6" s="12" t="s">
        <v>16</v>
      </c>
      <c r="V6" s="6"/>
      <c r="W6" s="11" t="s">
        <v>17</v>
      </c>
      <c r="X6" s="11" t="s">
        <v>18</v>
      </c>
      <c r="Y6" s="11" t="s">
        <v>19</v>
      </c>
      <c r="Z6" s="11" t="s">
        <v>20</v>
      </c>
      <c r="AA6" s="6"/>
      <c r="AB6" s="6"/>
      <c r="AC6" s="6"/>
      <c r="AD6" s="6"/>
      <c r="AE6" s="6"/>
      <c r="AF6" s="6"/>
      <c r="AG6" s="6"/>
    </row>
    <row r="7" ht="14.25" customHeight="1">
      <c r="A7" s="13" t="s">
        <v>21</v>
      </c>
      <c r="B7" s="14">
        <v>1231.0</v>
      </c>
      <c r="C7" s="6"/>
      <c r="D7" s="13" t="s">
        <v>21</v>
      </c>
      <c r="E7" s="14">
        <v>1231.0</v>
      </c>
      <c r="F7" s="6"/>
      <c r="G7" s="6"/>
      <c r="H7" s="6"/>
      <c r="I7" s="6"/>
      <c r="J7" s="6"/>
      <c r="K7" s="6"/>
      <c r="L7" s="6"/>
      <c r="M7" s="6"/>
      <c r="N7" s="15" t="s">
        <v>22</v>
      </c>
      <c r="O7" s="16">
        <f t="shared" ref="O7:O10" si="1">COUNTIF($T$7:$T$17,N7)</f>
        <v>1</v>
      </c>
      <c r="P7" s="17">
        <f>U9</f>
        <v>0.7229</v>
      </c>
      <c r="Q7" s="6"/>
      <c r="R7" s="18">
        <v>10390.0</v>
      </c>
      <c r="S7" s="19">
        <v>46265.0</v>
      </c>
      <c r="T7" s="20" t="s">
        <v>23</v>
      </c>
      <c r="U7" s="21">
        <v>0.5924</v>
      </c>
      <c r="V7" s="6"/>
      <c r="W7" s="18">
        <v>10390.0</v>
      </c>
      <c r="X7" s="14">
        <v>153019.0</v>
      </c>
      <c r="Y7" s="14">
        <v>19836.0</v>
      </c>
      <c r="Z7" s="14">
        <v>620.0</v>
      </c>
      <c r="AA7" s="6"/>
      <c r="AB7" s="6"/>
      <c r="AC7" s="6"/>
      <c r="AD7" s="6"/>
      <c r="AE7" s="6"/>
      <c r="AF7" s="6"/>
      <c r="AG7" s="6"/>
    </row>
    <row r="8" ht="14.25" customHeight="1">
      <c r="A8" s="15" t="s">
        <v>24</v>
      </c>
      <c r="B8" s="14">
        <v>185.0</v>
      </c>
      <c r="C8" s="6"/>
      <c r="D8" s="15" t="s">
        <v>24</v>
      </c>
      <c r="E8" s="22">
        <v>185.0</v>
      </c>
      <c r="F8" s="6"/>
      <c r="G8" s="6"/>
      <c r="H8" s="6"/>
      <c r="I8" s="6"/>
      <c r="J8" s="6"/>
      <c r="K8" s="6"/>
      <c r="L8" s="6"/>
      <c r="M8" s="6"/>
      <c r="N8" s="15" t="s">
        <v>25</v>
      </c>
      <c r="O8" s="16">
        <f t="shared" si="1"/>
        <v>5</v>
      </c>
      <c r="P8" s="17">
        <f>AVERAGE(U8+U11+U14+U15+U16)</f>
        <v>2.5746</v>
      </c>
      <c r="Q8" s="6"/>
      <c r="R8" s="18">
        <v>10391.0</v>
      </c>
      <c r="S8" s="19">
        <v>46265.0</v>
      </c>
      <c r="T8" s="20" t="s">
        <v>25</v>
      </c>
      <c r="U8" s="21">
        <v>0.7355</v>
      </c>
      <c r="V8" s="6"/>
      <c r="W8" s="18">
        <v>10391.0</v>
      </c>
      <c r="X8" s="14">
        <v>82499.0</v>
      </c>
      <c r="Y8" s="14">
        <v>13764.0</v>
      </c>
      <c r="Z8" s="14">
        <v>312.0</v>
      </c>
      <c r="AA8" s="6"/>
      <c r="AB8" s="6"/>
      <c r="AC8" s="6"/>
      <c r="AD8" s="6"/>
      <c r="AE8" s="6"/>
      <c r="AF8" s="6"/>
      <c r="AG8" s="6"/>
    </row>
    <row r="9" ht="14.25" customHeight="1">
      <c r="A9" s="15" t="s">
        <v>26</v>
      </c>
      <c r="B9" s="14">
        <v>231.0</v>
      </c>
      <c r="C9" s="6"/>
      <c r="D9" s="15" t="s">
        <v>26</v>
      </c>
      <c r="E9" s="22">
        <v>231.0</v>
      </c>
      <c r="F9" s="6"/>
      <c r="G9" s="6"/>
      <c r="H9" s="6"/>
      <c r="I9" s="6"/>
      <c r="J9" s="6"/>
      <c r="K9" s="6"/>
      <c r="L9" s="6"/>
      <c r="M9" s="6"/>
      <c r="N9" s="15" t="s">
        <v>23</v>
      </c>
      <c r="O9" s="16">
        <f t="shared" si="1"/>
        <v>4</v>
      </c>
      <c r="P9" s="17">
        <f>AVERAGE(U7+U10+U12+U13)</f>
        <v>2.8613</v>
      </c>
      <c r="Q9" s="6"/>
      <c r="R9" s="18">
        <v>10394.0</v>
      </c>
      <c r="S9" s="19">
        <v>46266.0</v>
      </c>
      <c r="T9" s="20" t="s">
        <v>22</v>
      </c>
      <c r="U9" s="21">
        <v>0.7229</v>
      </c>
      <c r="V9" s="6"/>
      <c r="W9" s="18">
        <v>10394.0</v>
      </c>
      <c r="X9" s="22">
        <v>80326.0</v>
      </c>
      <c r="Y9" s="22">
        <v>15039.0</v>
      </c>
      <c r="Z9" s="22">
        <v>387.0</v>
      </c>
      <c r="AA9" s="6"/>
      <c r="AB9" s="6"/>
      <c r="AC9" s="6"/>
      <c r="AD9" s="6"/>
      <c r="AE9" s="6"/>
      <c r="AF9" s="6"/>
      <c r="AG9" s="6"/>
    </row>
    <row r="10" ht="14.25" customHeight="1">
      <c r="A10" s="15" t="s">
        <v>27</v>
      </c>
      <c r="B10" s="14">
        <v>22.0</v>
      </c>
      <c r="C10" s="6"/>
      <c r="D10" s="15" t="s">
        <v>27</v>
      </c>
      <c r="E10" s="14">
        <v>22.0</v>
      </c>
      <c r="F10" s="6"/>
      <c r="G10" s="6"/>
      <c r="H10" s="6"/>
      <c r="I10" s="6"/>
      <c r="J10" s="6"/>
      <c r="K10" s="6"/>
      <c r="L10" s="6"/>
      <c r="M10" s="6"/>
      <c r="N10" s="15" t="s">
        <v>28</v>
      </c>
      <c r="O10" s="16">
        <f t="shared" si="1"/>
        <v>1</v>
      </c>
      <c r="P10" s="17">
        <f>U17</f>
        <v>0.6262</v>
      </c>
      <c r="Q10" s="6"/>
      <c r="R10" s="18">
        <v>10400.0</v>
      </c>
      <c r="S10" s="19">
        <v>46267.0</v>
      </c>
      <c r="T10" s="20" t="s">
        <v>23</v>
      </c>
      <c r="U10" s="21">
        <v>0.8279</v>
      </c>
      <c r="V10" s="6"/>
      <c r="W10" s="18">
        <v>10400.0</v>
      </c>
      <c r="X10" s="14">
        <v>118073.0</v>
      </c>
      <c r="Y10" s="14">
        <v>17185.0</v>
      </c>
      <c r="Z10" s="14">
        <v>360.0</v>
      </c>
      <c r="AA10" s="6"/>
      <c r="AB10" s="6"/>
      <c r="AC10" s="6"/>
      <c r="AD10" s="6"/>
      <c r="AE10" s="6"/>
      <c r="AF10" s="6"/>
      <c r="AG10" s="6"/>
    </row>
    <row r="11" ht="14.25" customHeight="1">
      <c r="B11" s="23">
        <f>SUMPRODUCT(B7:B10)</f>
        <v>1669</v>
      </c>
      <c r="C11" s="6"/>
      <c r="D11" s="6"/>
      <c r="E11" s="23">
        <f>SUMPRODUCT(E7:E10)</f>
        <v>1669</v>
      </c>
      <c r="F11" s="6"/>
      <c r="G11" s="6"/>
      <c r="H11" s="6"/>
      <c r="I11" s="6"/>
      <c r="J11" s="6"/>
      <c r="K11" s="6"/>
      <c r="L11" s="6"/>
      <c r="M11" s="6"/>
      <c r="N11" s="24" t="s">
        <v>29</v>
      </c>
      <c r="O11" s="25">
        <f>SUM(O7:O10)</f>
        <v>11</v>
      </c>
      <c r="P11" s="26">
        <f>AVERAGE(P7:P9)</f>
        <v>2.052933333</v>
      </c>
      <c r="Q11" s="6"/>
      <c r="R11" s="18">
        <v>10401.0</v>
      </c>
      <c r="S11" s="19">
        <v>46267.0</v>
      </c>
      <c r="T11" s="20" t="s">
        <v>25</v>
      </c>
      <c r="U11" s="21">
        <v>0.3348</v>
      </c>
      <c r="V11" s="6"/>
      <c r="W11" s="18">
        <v>10401.0</v>
      </c>
      <c r="X11" s="14">
        <v>53861.0</v>
      </c>
      <c r="Y11" s="14">
        <v>12855.0</v>
      </c>
      <c r="Z11" s="14">
        <v>529.0</v>
      </c>
      <c r="AA11" s="6"/>
      <c r="AB11" s="6"/>
      <c r="AC11" s="6"/>
      <c r="AD11" s="6"/>
      <c r="AE11" s="6"/>
      <c r="AF11" s="6"/>
      <c r="AG11" s="6"/>
    </row>
    <row r="12" ht="14.25" customHeight="1">
      <c r="A12" s="6"/>
      <c r="C12" s="6"/>
      <c r="D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8">
        <v>10402.0</v>
      </c>
      <c r="S12" s="19">
        <v>46268.0</v>
      </c>
      <c r="T12" s="20" t="s">
        <v>23</v>
      </c>
      <c r="U12" s="21">
        <v>0.7055</v>
      </c>
      <c r="V12" s="6"/>
      <c r="W12" s="18">
        <v>10402.0</v>
      </c>
      <c r="X12" s="14">
        <v>128374.0</v>
      </c>
      <c r="Y12" s="14">
        <v>15655.0</v>
      </c>
      <c r="Z12" s="14">
        <v>366.0</v>
      </c>
      <c r="AA12" s="6"/>
      <c r="AB12" s="6"/>
      <c r="AC12" s="6"/>
      <c r="AD12" s="6"/>
      <c r="AE12" s="6"/>
      <c r="AF12" s="6"/>
      <c r="AG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8">
        <v>10403.0</v>
      </c>
      <c r="S13" s="19">
        <v>46268.0</v>
      </c>
      <c r="T13" s="20" t="s">
        <v>23</v>
      </c>
      <c r="U13" s="21">
        <v>0.7355</v>
      </c>
      <c r="V13" s="6"/>
      <c r="W13" s="18">
        <v>10403.0</v>
      </c>
      <c r="X13" s="14">
        <v>78599.0</v>
      </c>
      <c r="Y13" s="14">
        <v>10510.0</v>
      </c>
      <c r="Z13" s="14">
        <v>193.0</v>
      </c>
      <c r="AA13" s="6"/>
      <c r="AB13" s="6"/>
      <c r="AC13" s="6"/>
      <c r="AD13" s="6"/>
      <c r="AE13" s="6"/>
      <c r="AF13" s="6"/>
      <c r="AG13" s="6"/>
    </row>
    <row r="14" ht="14.25" customHeight="1">
      <c r="A14" s="6"/>
      <c r="B14" s="6"/>
      <c r="C14" s="6"/>
      <c r="D14" s="6"/>
      <c r="E14" s="6"/>
      <c r="F14" s="6"/>
      <c r="G14" s="27" t="s">
        <v>30</v>
      </c>
      <c r="H14" s="28"/>
      <c r="I14" s="6"/>
      <c r="J14" s="29" t="s">
        <v>30</v>
      </c>
      <c r="K14" s="29"/>
      <c r="L14" s="6"/>
      <c r="M14" s="6"/>
      <c r="N14" s="6"/>
      <c r="O14" s="6"/>
      <c r="P14" s="6"/>
      <c r="Q14" s="6"/>
      <c r="R14" s="18">
        <v>10405.0</v>
      </c>
      <c r="S14" s="19">
        <v>46268.0</v>
      </c>
      <c r="T14" s="20" t="s">
        <v>25</v>
      </c>
      <c r="U14" s="21">
        <v>0.304</v>
      </c>
      <c r="V14" s="6"/>
      <c r="W14" s="18">
        <v>10405.0</v>
      </c>
      <c r="X14" s="14">
        <v>38838.0</v>
      </c>
      <c r="Y14" s="14">
        <v>8570.0</v>
      </c>
      <c r="Z14" s="14">
        <v>436.0</v>
      </c>
      <c r="AA14" s="6"/>
      <c r="AB14" s="6"/>
      <c r="AC14" s="6"/>
      <c r="AD14" s="6"/>
      <c r="AE14" s="6"/>
      <c r="AF14" s="6"/>
      <c r="AG14" s="6"/>
    </row>
    <row r="15" ht="14.25" customHeight="1">
      <c r="A15" s="6"/>
      <c r="B15" s="6"/>
      <c r="C15" s="6"/>
      <c r="D15" s="6"/>
      <c r="E15" s="6"/>
      <c r="F15" s="6"/>
      <c r="G15" s="12" t="s">
        <v>8</v>
      </c>
      <c r="H15" s="12" t="s">
        <v>9</v>
      </c>
      <c r="I15" s="6"/>
      <c r="J15" s="12" t="s">
        <v>8</v>
      </c>
      <c r="K15" s="12" t="s">
        <v>10</v>
      </c>
      <c r="L15" s="6"/>
      <c r="M15" s="6"/>
      <c r="N15" s="6"/>
      <c r="O15" s="6"/>
      <c r="P15" s="6"/>
      <c r="Q15" s="6"/>
      <c r="R15" s="18">
        <v>10406.0</v>
      </c>
      <c r="S15" s="19">
        <v>46269.0</v>
      </c>
      <c r="T15" s="20" t="s">
        <v>25</v>
      </c>
      <c r="U15" s="21">
        <v>0.6584</v>
      </c>
      <c r="V15" s="6"/>
      <c r="W15" s="18">
        <v>10406.0</v>
      </c>
      <c r="X15" s="14">
        <v>98859.0</v>
      </c>
      <c r="Y15" s="14">
        <v>10805.0</v>
      </c>
      <c r="Z15" s="14">
        <v>211.0</v>
      </c>
      <c r="AA15" s="6"/>
      <c r="AB15" s="6"/>
      <c r="AC15" s="6"/>
      <c r="AD15" s="6"/>
      <c r="AE15" s="6"/>
      <c r="AF15" s="6"/>
      <c r="AG15" s="6"/>
    </row>
    <row r="16" ht="14.25" customHeight="1">
      <c r="A16" s="6"/>
      <c r="B16" s="6"/>
      <c r="C16" s="6"/>
      <c r="D16" s="6"/>
      <c r="E16" s="6"/>
      <c r="F16" s="6"/>
      <c r="G16" s="30" t="s">
        <v>21</v>
      </c>
      <c r="H16" s="31">
        <f t="shared" ref="H16:H20" si="2">IFERROR((B28-B7)/B7,"")</f>
        <v>0.0105605199</v>
      </c>
      <c r="I16" s="6"/>
      <c r="J16" s="30" t="s">
        <v>21</v>
      </c>
      <c r="K16" s="31">
        <f t="shared" ref="K16:K20" si="3">IFERROR((E28-E7)/E7,"")</f>
        <v>-0.1112916328</v>
      </c>
      <c r="L16" s="6"/>
      <c r="M16" s="6"/>
      <c r="N16" s="6"/>
      <c r="O16" s="6"/>
      <c r="P16" s="6"/>
      <c r="Q16" s="6"/>
      <c r="R16" s="18">
        <v>10407.0</v>
      </c>
      <c r="S16" s="19">
        <v>46269.0</v>
      </c>
      <c r="T16" s="20" t="s">
        <v>25</v>
      </c>
      <c r="U16" s="21">
        <v>0.5419</v>
      </c>
      <c r="V16" s="6"/>
      <c r="W16" s="18">
        <v>10407.0</v>
      </c>
      <c r="X16" s="14">
        <v>52182.0</v>
      </c>
      <c r="Y16" s="14">
        <v>7551.0</v>
      </c>
      <c r="Z16" s="14">
        <v>87.0</v>
      </c>
      <c r="AA16" s="6"/>
      <c r="AB16" s="6"/>
      <c r="AC16" s="6"/>
      <c r="AD16" s="6"/>
      <c r="AE16" s="6"/>
      <c r="AF16" s="6"/>
      <c r="AG16" s="6"/>
    </row>
    <row r="17" ht="14.25" customHeight="1">
      <c r="A17" s="6"/>
      <c r="B17" s="6"/>
      <c r="C17" s="6"/>
      <c r="D17" s="6"/>
      <c r="E17" s="6"/>
      <c r="F17" s="6"/>
      <c r="G17" s="32" t="s">
        <v>24</v>
      </c>
      <c r="H17" s="33">
        <f t="shared" si="2"/>
        <v>0.04324324324</v>
      </c>
      <c r="I17" s="6"/>
      <c r="J17" s="32" t="s">
        <v>24</v>
      </c>
      <c r="K17" s="33">
        <f t="shared" si="3"/>
        <v>-0.005405405405</v>
      </c>
      <c r="L17" s="6"/>
      <c r="M17" s="6"/>
      <c r="N17" s="6"/>
      <c r="O17" s="6"/>
      <c r="P17" s="6"/>
      <c r="Q17" s="6"/>
      <c r="R17" s="18">
        <v>10408.0</v>
      </c>
      <c r="S17" s="19">
        <v>46269.0</v>
      </c>
      <c r="T17" s="20" t="s">
        <v>28</v>
      </c>
      <c r="U17" s="21">
        <v>0.6262</v>
      </c>
      <c r="V17" s="6"/>
      <c r="W17" s="18">
        <v>10408.0</v>
      </c>
      <c r="X17" s="14">
        <v>77864.0</v>
      </c>
      <c r="Y17" s="14">
        <v>9553.0</v>
      </c>
      <c r="Z17" s="14">
        <v>216.0</v>
      </c>
      <c r="AA17" s="6"/>
      <c r="AB17" s="6"/>
      <c r="AC17" s="6"/>
      <c r="AD17" s="6"/>
      <c r="AE17" s="6"/>
      <c r="AF17" s="6"/>
      <c r="AG17" s="6"/>
    </row>
    <row r="18" ht="16.5" customHeight="1">
      <c r="A18" s="6"/>
      <c r="B18" s="6"/>
      <c r="C18" s="6"/>
      <c r="D18" s="6"/>
      <c r="E18" s="6"/>
      <c r="F18" s="6"/>
      <c r="G18" s="32" t="s">
        <v>26</v>
      </c>
      <c r="H18" s="33">
        <f t="shared" si="2"/>
        <v>-0.1731601732</v>
      </c>
      <c r="I18" s="6"/>
      <c r="J18" s="32" t="s">
        <v>26</v>
      </c>
      <c r="K18" s="33">
        <f t="shared" si="3"/>
        <v>-0.1385281385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34" t="s">
        <v>29</v>
      </c>
      <c r="X18" s="35">
        <f t="shared" ref="X18:Z18" si="4">SUM(X7:X17)</f>
        <v>962494</v>
      </c>
      <c r="Y18" s="35">
        <f t="shared" si="4"/>
        <v>141323</v>
      </c>
      <c r="Z18" s="35">
        <f t="shared" si="4"/>
        <v>3717</v>
      </c>
      <c r="AA18" s="6"/>
      <c r="AB18" s="6"/>
      <c r="AC18" s="6"/>
      <c r="AD18" s="6"/>
      <c r="AE18" s="6"/>
      <c r="AF18" s="6"/>
      <c r="AG18" s="6"/>
    </row>
    <row r="19" ht="14.25" customHeight="1">
      <c r="A19" s="6"/>
      <c r="C19" s="6"/>
      <c r="D19" s="6"/>
      <c r="E19" s="6"/>
      <c r="F19" s="6"/>
      <c r="G19" s="32" t="s">
        <v>27</v>
      </c>
      <c r="H19" s="33">
        <f t="shared" si="2"/>
        <v>0.5</v>
      </c>
      <c r="I19" s="6"/>
      <c r="J19" s="32" t="s">
        <v>27</v>
      </c>
      <c r="K19" s="33">
        <f t="shared" si="3"/>
        <v>0.1818181818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AA19" s="6"/>
      <c r="AB19" s="36" t="s">
        <v>4</v>
      </c>
      <c r="AC19" s="37"/>
      <c r="AD19" s="37"/>
      <c r="AE19" s="28"/>
      <c r="AF19" s="6"/>
      <c r="AG19" s="6"/>
    </row>
    <row r="20" ht="14.25" customHeight="1">
      <c r="A20" s="6"/>
      <c r="B20" s="6"/>
      <c r="C20" s="6"/>
      <c r="D20" s="6"/>
      <c r="E20" s="6"/>
      <c r="F20" s="6"/>
      <c r="G20" s="38" t="s">
        <v>31</v>
      </c>
      <c r="H20" s="39">
        <f t="shared" si="2"/>
        <v>-0.004793289395</v>
      </c>
      <c r="J20" s="38" t="s">
        <v>32</v>
      </c>
      <c r="K20" s="39">
        <f t="shared" si="3"/>
        <v>-0.09946075494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40" t="s">
        <v>33</v>
      </c>
      <c r="AC20" s="41"/>
      <c r="AD20" s="41"/>
      <c r="AE20" s="42"/>
      <c r="AF20" s="6"/>
      <c r="AG20" s="6"/>
    </row>
    <row r="21" ht="18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2" t="s">
        <v>34</v>
      </c>
      <c r="AC21" s="12" t="s">
        <v>18</v>
      </c>
      <c r="AD21" s="12" t="s">
        <v>19</v>
      </c>
      <c r="AE21" s="12" t="s">
        <v>20</v>
      </c>
      <c r="AF21" s="6"/>
      <c r="AG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43" t="s">
        <v>22</v>
      </c>
      <c r="AC22" s="44">
        <f t="shared" ref="AC22:AE22" si="5">X28-X7</f>
        <v>-63021</v>
      </c>
      <c r="AD22" s="44">
        <f t="shared" si="5"/>
        <v>-7579</v>
      </c>
      <c r="AE22" s="45">
        <f t="shared" si="5"/>
        <v>-304</v>
      </c>
      <c r="AF22" s="6"/>
      <c r="AG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43" t="s">
        <v>25</v>
      </c>
      <c r="AC23" s="46">
        <f t="shared" ref="AC23:AE23" si="6">X29-X8</f>
        <v>-45659</v>
      </c>
      <c r="AD23" s="46">
        <f t="shared" si="6"/>
        <v>-5462</v>
      </c>
      <c r="AE23" s="47">
        <f t="shared" si="6"/>
        <v>-248</v>
      </c>
      <c r="AF23" s="6"/>
      <c r="AG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43" t="s">
        <v>23</v>
      </c>
      <c r="AC24" s="46">
        <f t="shared" ref="AC24:AE24" si="7">X30-X9</f>
        <v>85212</v>
      </c>
      <c r="AD24" s="46">
        <f t="shared" si="7"/>
        <v>-997</v>
      </c>
      <c r="AE24" s="47">
        <f t="shared" si="7"/>
        <v>-149</v>
      </c>
      <c r="AF24" s="6"/>
      <c r="AG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8" t="s">
        <v>35</v>
      </c>
      <c r="AA25" s="6"/>
      <c r="AB25" s="43" t="s">
        <v>23</v>
      </c>
      <c r="AC25" s="46">
        <f t="shared" ref="AC25:AE25" si="8">X31-X10</f>
        <v>-35387</v>
      </c>
      <c r="AD25" s="46">
        <f t="shared" si="8"/>
        <v>-6867</v>
      </c>
      <c r="AE25" s="47">
        <f t="shared" si="8"/>
        <v>-235</v>
      </c>
      <c r="AF25" s="6"/>
      <c r="AG25" s="6"/>
    </row>
    <row r="26" ht="14.25" customHeight="1">
      <c r="A26" s="48" t="s">
        <v>36</v>
      </c>
      <c r="B26" s="2"/>
      <c r="C26" s="2"/>
      <c r="D26" s="2"/>
      <c r="E26" s="3"/>
      <c r="F26" s="6"/>
      <c r="G26" s="6"/>
      <c r="H26" s="6"/>
      <c r="I26" s="6"/>
      <c r="J26" s="6"/>
      <c r="K26" s="6"/>
      <c r="L26" s="6"/>
      <c r="M26" s="6"/>
      <c r="N26" s="9" t="s">
        <v>5</v>
      </c>
      <c r="O26" s="9"/>
      <c r="P26" s="9"/>
      <c r="Q26" s="6"/>
      <c r="R26" s="10" t="s">
        <v>6</v>
      </c>
      <c r="S26" s="10"/>
      <c r="T26" s="10"/>
      <c r="U26" s="10"/>
      <c r="V26" s="6"/>
      <c r="W26" s="9" t="s">
        <v>7</v>
      </c>
      <c r="X26" s="9"/>
      <c r="Y26" s="9"/>
      <c r="Z26" s="9"/>
      <c r="AA26" s="6"/>
      <c r="AB26" s="43" t="s">
        <v>25</v>
      </c>
      <c r="AC26" s="46">
        <f t="shared" ref="AC26:AE26" si="9">X32-X11</f>
        <v>-13062</v>
      </c>
      <c r="AD26" s="46">
        <f t="shared" si="9"/>
        <v>-5059</v>
      </c>
      <c r="AE26" s="47">
        <f t="shared" si="9"/>
        <v>-473</v>
      </c>
      <c r="AF26" s="6"/>
      <c r="AG26" s="6"/>
    </row>
    <row r="27" ht="18.75" customHeight="1">
      <c r="A27" s="11" t="s">
        <v>8</v>
      </c>
      <c r="B27" s="11" t="s">
        <v>9</v>
      </c>
      <c r="C27" s="6"/>
      <c r="D27" s="11" t="s">
        <v>8</v>
      </c>
      <c r="E27" s="11" t="s">
        <v>10</v>
      </c>
      <c r="F27" s="6"/>
      <c r="G27" s="6"/>
      <c r="H27" s="6"/>
      <c r="I27" s="6"/>
      <c r="J27" s="6"/>
      <c r="K27" s="6"/>
      <c r="L27" s="6"/>
      <c r="M27" s="6"/>
      <c r="N27" s="11" t="s">
        <v>11</v>
      </c>
      <c r="O27" s="11" t="s">
        <v>12</v>
      </c>
      <c r="P27" s="11" t="s">
        <v>13</v>
      </c>
      <c r="Q27" s="6"/>
      <c r="R27" s="12" t="s">
        <v>14</v>
      </c>
      <c r="S27" s="12" t="s">
        <v>15</v>
      </c>
      <c r="T27" s="12" t="s">
        <v>11</v>
      </c>
      <c r="U27" s="12" t="s">
        <v>16</v>
      </c>
      <c r="V27" s="6"/>
      <c r="W27" s="11" t="s">
        <v>17</v>
      </c>
      <c r="X27" s="11" t="s">
        <v>18</v>
      </c>
      <c r="Y27" s="11" t="s">
        <v>19</v>
      </c>
      <c r="Z27" s="11" t="s">
        <v>20</v>
      </c>
      <c r="AA27" s="6"/>
      <c r="AB27" s="43" t="s">
        <v>23</v>
      </c>
      <c r="AC27" s="46">
        <f t="shared" ref="AC27:AE27" si="10">X33-X12</f>
        <v>-54085</v>
      </c>
      <c r="AD27" s="46">
        <f t="shared" si="10"/>
        <v>-4565</v>
      </c>
      <c r="AE27" s="47">
        <f t="shared" si="10"/>
        <v>-116</v>
      </c>
      <c r="AF27" s="6"/>
      <c r="AG27" s="6"/>
    </row>
    <row r="28" ht="14.25" customHeight="1">
      <c r="A28" s="13" t="s">
        <v>21</v>
      </c>
      <c r="B28" s="14">
        <v>1244.0</v>
      </c>
      <c r="C28" s="6"/>
      <c r="D28" s="13" t="s">
        <v>21</v>
      </c>
      <c r="E28" s="14">
        <v>1094.0</v>
      </c>
      <c r="F28" s="6"/>
      <c r="G28" s="6"/>
      <c r="I28" s="6"/>
      <c r="J28" s="6"/>
      <c r="K28" s="6"/>
      <c r="L28" s="6"/>
      <c r="M28" s="6"/>
      <c r="N28" s="15" t="s">
        <v>22</v>
      </c>
      <c r="O28" s="16">
        <f t="shared" ref="O28:O31" si="12">COUNTIF($T$28:$T$38,N28)</f>
        <v>1</v>
      </c>
      <c r="P28" s="21">
        <v>0.7059</v>
      </c>
      <c r="Q28" s="6"/>
      <c r="R28" s="18">
        <v>10411.0</v>
      </c>
      <c r="S28" s="19">
        <v>46273.0</v>
      </c>
      <c r="T28" s="20" t="s">
        <v>22</v>
      </c>
      <c r="U28" s="21">
        <v>0.7059</v>
      </c>
      <c r="V28" s="6"/>
      <c r="W28" s="18">
        <v>10411.0</v>
      </c>
      <c r="X28" s="22">
        <v>89998.0</v>
      </c>
      <c r="Y28" s="22">
        <v>12257.0</v>
      </c>
      <c r="Z28" s="22">
        <v>316.0</v>
      </c>
      <c r="AA28" s="6"/>
      <c r="AB28" s="43" t="s">
        <v>23</v>
      </c>
      <c r="AC28" s="46">
        <f t="shared" ref="AC28:AE28" si="11">X34-X13</f>
        <v>15425</v>
      </c>
      <c r="AD28" s="46">
        <f t="shared" si="11"/>
        <v>1124</v>
      </c>
      <c r="AE28" s="47">
        <f t="shared" si="11"/>
        <v>133</v>
      </c>
      <c r="AF28" s="6"/>
      <c r="AG28" s="6"/>
    </row>
    <row r="29" ht="14.25" customHeight="1">
      <c r="A29" s="15" t="s">
        <v>24</v>
      </c>
      <c r="B29" s="14">
        <v>193.0</v>
      </c>
      <c r="C29" s="6"/>
      <c r="D29" s="15" t="s">
        <v>24</v>
      </c>
      <c r="E29" s="14">
        <v>184.0</v>
      </c>
      <c r="F29" s="6"/>
      <c r="G29" s="6"/>
      <c r="H29" s="6"/>
      <c r="I29" s="6"/>
      <c r="J29" s="6"/>
      <c r="K29" s="6"/>
      <c r="L29" s="6"/>
      <c r="M29" s="6"/>
      <c r="N29" s="15" t="s">
        <v>25</v>
      </c>
      <c r="O29" s="16">
        <f t="shared" si="12"/>
        <v>5</v>
      </c>
      <c r="P29" s="17">
        <f t="array" ref="P29">AVERAGE(U29+U32+U35:U36)</f>
        <v>1.2209</v>
      </c>
      <c r="Q29" s="6"/>
      <c r="R29" s="18">
        <v>10486.0</v>
      </c>
      <c r="S29" s="19">
        <v>46273.0</v>
      </c>
      <c r="T29" s="20" t="s">
        <v>25</v>
      </c>
      <c r="U29" s="21">
        <v>0.2471</v>
      </c>
      <c r="V29" s="6"/>
      <c r="W29" s="18">
        <v>10486.0</v>
      </c>
      <c r="X29" s="14">
        <v>36840.0</v>
      </c>
      <c r="Y29" s="14">
        <v>8302.0</v>
      </c>
      <c r="Z29" s="14">
        <v>64.0</v>
      </c>
      <c r="AA29" s="6"/>
      <c r="AB29" s="52" t="s">
        <v>25</v>
      </c>
      <c r="AC29" s="46">
        <f t="shared" ref="AC29:AE29" si="13">X35-X14</f>
        <v>-7621</v>
      </c>
      <c r="AD29" s="46">
        <f t="shared" si="13"/>
        <v>64</v>
      </c>
      <c r="AE29" s="47">
        <f t="shared" si="13"/>
        <v>-272</v>
      </c>
      <c r="AF29" s="6"/>
      <c r="AG29" s="6"/>
    </row>
    <row r="30" ht="14.25" customHeight="1">
      <c r="A30" s="15" t="s">
        <v>26</v>
      </c>
      <c r="B30" s="14">
        <v>191.0</v>
      </c>
      <c r="C30" s="6"/>
      <c r="D30" s="15" t="s">
        <v>26</v>
      </c>
      <c r="E30" s="14">
        <v>199.0</v>
      </c>
      <c r="F30" s="6"/>
      <c r="G30" s="6"/>
      <c r="H30" s="6"/>
      <c r="J30" s="6"/>
      <c r="K30" s="6"/>
      <c r="L30" s="6"/>
      <c r="M30" s="6"/>
      <c r="N30" s="15" t="s">
        <v>23</v>
      </c>
      <c r="O30" s="16">
        <f t="shared" si="12"/>
        <v>4</v>
      </c>
      <c r="P30" s="17">
        <f t="array" ref="P30">AVERAGE(U30+U31+U33:U34)</f>
        <v>1.9936</v>
      </c>
      <c r="Q30" s="6"/>
      <c r="R30" s="18">
        <v>10410.0</v>
      </c>
      <c r="S30" s="19">
        <v>46273.0</v>
      </c>
      <c r="T30" s="20" t="s">
        <v>23</v>
      </c>
      <c r="U30" s="21">
        <v>0.7193</v>
      </c>
      <c r="V30" s="6"/>
      <c r="W30" s="18">
        <v>10410.0</v>
      </c>
      <c r="X30" s="14">
        <v>165538.0</v>
      </c>
      <c r="Y30" s="14">
        <v>14042.0</v>
      </c>
      <c r="Z30" s="14">
        <v>238.0</v>
      </c>
      <c r="AA30" s="6"/>
      <c r="AB30" s="43" t="s">
        <v>25</v>
      </c>
      <c r="AC30" s="46">
        <f t="shared" ref="AC30:AE30" si="14">X36-X15</f>
        <v>-11580</v>
      </c>
      <c r="AD30" s="46">
        <f t="shared" si="14"/>
        <v>309</v>
      </c>
      <c r="AE30" s="47">
        <f t="shared" si="14"/>
        <v>-64</v>
      </c>
      <c r="AF30" s="6"/>
      <c r="AG30" s="6"/>
    </row>
    <row r="31" ht="14.25" customHeight="1">
      <c r="A31" s="15" t="s">
        <v>27</v>
      </c>
      <c r="B31" s="14">
        <v>33.0</v>
      </c>
      <c r="C31" s="6"/>
      <c r="D31" s="15" t="s">
        <v>27</v>
      </c>
      <c r="E31" s="14">
        <v>26.0</v>
      </c>
      <c r="F31" s="6"/>
      <c r="G31" s="6"/>
      <c r="H31" s="6"/>
      <c r="I31" s="6"/>
      <c r="J31" s="6"/>
      <c r="K31" s="6"/>
      <c r="L31" s="6"/>
      <c r="M31" s="6"/>
      <c r="N31" s="15" t="s">
        <v>28</v>
      </c>
      <c r="O31" s="16">
        <f t="shared" si="12"/>
        <v>1</v>
      </c>
      <c r="P31" s="17">
        <f>U38</f>
        <v>0.6014</v>
      </c>
      <c r="Q31" s="6"/>
      <c r="R31" s="18">
        <v>10417.0</v>
      </c>
      <c r="S31" s="19">
        <v>46274.0</v>
      </c>
      <c r="T31" s="20" t="s">
        <v>23</v>
      </c>
      <c r="U31" s="21">
        <v>0.7444</v>
      </c>
      <c r="V31" s="6"/>
      <c r="W31" s="18">
        <v>10417.0</v>
      </c>
      <c r="X31" s="14">
        <v>82686.0</v>
      </c>
      <c r="Y31" s="14">
        <v>10318.0</v>
      </c>
      <c r="Z31" s="14">
        <v>125.0</v>
      </c>
      <c r="AA31" s="6"/>
      <c r="AB31" s="43" t="s">
        <v>25</v>
      </c>
      <c r="AC31" s="46">
        <f t="shared" ref="AC31:AE31" si="15">X37-X16</f>
        <v>12516</v>
      </c>
      <c r="AD31" s="46">
        <f t="shared" si="15"/>
        <v>817</v>
      </c>
      <c r="AE31" s="47">
        <f t="shared" si="15"/>
        <v>-5</v>
      </c>
      <c r="AF31" s="6"/>
      <c r="AG31" s="6"/>
    </row>
    <row r="32" ht="14.25" customHeight="1">
      <c r="B32" s="23">
        <f>SUMPRODUCT(B28:B31)</f>
        <v>1661</v>
      </c>
      <c r="C32" s="6"/>
      <c r="E32" s="23">
        <f>SUMPRODUCT(E28:E31)</f>
        <v>1503</v>
      </c>
      <c r="F32" s="6"/>
      <c r="G32" s="6"/>
      <c r="H32" s="6"/>
      <c r="I32" s="6"/>
      <c r="J32" s="6"/>
      <c r="K32" s="6"/>
      <c r="L32" s="6"/>
      <c r="M32" s="6"/>
      <c r="N32" s="24" t="s">
        <v>29</v>
      </c>
      <c r="O32" s="25">
        <f>SUM(O28:O31)</f>
        <v>11</v>
      </c>
      <c r="P32" s="26">
        <f>AVERAGE(P28:P30)</f>
        <v>1.3068</v>
      </c>
      <c r="Q32" s="6"/>
      <c r="R32" s="18">
        <v>10418.0</v>
      </c>
      <c r="S32" s="19">
        <v>46274.0</v>
      </c>
      <c r="T32" s="20" t="s">
        <v>25</v>
      </c>
      <c r="U32" s="21">
        <v>0.4369</v>
      </c>
      <c r="V32" s="6"/>
      <c r="W32" s="18">
        <v>10418.0</v>
      </c>
      <c r="X32" s="14">
        <v>40799.0</v>
      </c>
      <c r="Y32" s="14">
        <v>7796.0</v>
      </c>
      <c r="Z32" s="14">
        <v>56.0</v>
      </c>
      <c r="AA32" s="6"/>
      <c r="AB32" s="43" t="s">
        <v>28</v>
      </c>
      <c r="AC32" s="62">
        <f t="shared" ref="AC32:AE32" si="16">X38-X17</f>
        <v>410</v>
      </c>
      <c r="AD32" s="62">
        <f t="shared" si="16"/>
        <v>-451</v>
      </c>
      <c r="AE32" s="63">
        <f t="shared" si="16"/>
        <v>-79</v>
      </c>
      <c r="AF32" s="6"/>
      <c r="AG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8">
        <v>10419.0</v>
      </c>
      <c r="S33" s="19">
        <v>46275.0</v>
      </c>
      <c r="T33" s="20" t="s">
        <v>23</v>
      </c>
      <c r="U33" s="21">
        <v>0.5541</v>
      </c>
      <c r="V33" s="6"/>
      <c r="W33" s="18">
        <v>10419.0</v>
      </c>
      <c r="X33" s="14">
        <v>74289.0</v>
      </c>
      <c r="Y33" s="14">
        <v>11090.0</v>
      </c>
      <c r="Z33" s="14">
        <v>250.0</v>
      </c>
      <c r="AA33" s="6"/>
      <c r="AB33" s="6"/>
      <c r="AC33" s="6"/>
      <c r="AD33" s="6"/>
      <c r="AE33" s="6"/>
      <c r="AF33" s="6"/>
      <c r="AG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8">
        <v>10420.0</v>
      </c>
      <c r="S34" s="19">
        <v>46275.0</v>
      </c>
      <c r="T34" s="20" t="s">
        <v>23</v>
      </c>
      <c r="U34" s="21">
        <v>0.5057</v>
      </c>
      <c r="V34" s="6"/>
      <c r="W34" s="18">
        <v>10420.0</v>
      </c>
      <c r="X34" s="14">
        <v>94024.0</v>
      </c>
      <c r="Y34" s="14">
        <v>11634.0</v>
      </c>
      <c r="Z34" s="14">
        <v>326.0</v>
      </c>
      <c r="AA34" s="6"/>
      <c r="AB34" s="6"/>
      <c r="AC34" s="6"/>
      <c r="AD34" s="6"/>
      <c r="AE34" s="6"/>
      <c r="AF34" s="6"/>
      <c r="AG34" s="6"/>
    </row>
    <row r="35" ht="14.25" customHeight="1">
      <c r="A35" s="6"/>
      <c r="B35" s="6"/>
      <c r="C35" s="6"/>
      <c r="D35" s="6"/>
      <c r="E35" s="6"/>
      <c r="F35" s="6"/>
      <c r="G35" s="29" t="s">
        <v>30</v>
      </c>
      <c r="H35" s="29"/>
      <c r="I35" s="6"/>
      <c r="J35" s="29" t="s">
        <v>30</v>
      </c>
      <c r="K35" s="29"/>
      <c r="L35" s="6"/>
      <c r="M35" s="6"/>
      <c r="N35" s="6"/>
      <c r="O35" s="6"/>
      <c r="P35" s="6"/>
      <c r="Q35" s="6"/>
      <c r="R35" s="18">
        <v>10421.0</v>
      </c>
      <c r="S35" s="19">
        <v>46275.0</v>
      </c>
      <c r="T35" s="65" t="s">
        <v>25</v>
      </c>
      <c r="U35" s="21">
        <v>0.375</v>
      </c>
      <c r="V35" s="6"/>
      <c r="W35" s="18">
        <v>10421.0</v>
      </c>
      <c r="X35" s="14">
        <v>31217.0</v>
      </c>
      <c r="Y35" s="14">
        <v>8634.0</v>
      </c>
      <c r="Z35" s="14">
        <v>164.0</v>
      </c>
      <c r="AA35" s="6"/>
      <c r="AB35" s="6"/>
      <c r="AC35" s="6"/>
      <c r="AD35" s="6"/>
      <c r="AE35" s="6"/>
      <c r="AF35" s="6"/>
      <c r="AG35" s="6"/>
    </row>
    <row r="36" ht="14.25" customHeight="1">
      <c r="A36" s="6"/>
      <c r="B36" s="6"/>
      <c r="C36" s="6"/>
      <c r="D36" s="6"/>
      <c r="E36" s="6"/>
      <c r="F36" s="6"/>
      <c r="G36" s="12" t="s">
        <v>8</v>
      </c>
      <c r="H36" s="12" t="s">
        <v>9</v>
      </c>
      <c r="I36" s="6"/>
      <c r="J36" s="12" t="s">
        <v>8</v>
      </c>
      <c r="K36" s="12" t="s">
        <v>10</v>
      </c>
      <c r="L36" s="6"/>
      <c r="M36" s="6"/>
      <c r="N36" s="6"/>
      <c r="O36" s="6"/>
      <c r="P36" s="6"/>
      <c r="Q36" s="6"/>
      <c r="R36" s="18">
        <v>10423.0</v>
      </c>
      <c r="S36" s="19">
        <v>46276.0</v>
      </c>
      <c r="T36" s="20" t="s">
        <v>25</v>
      </c>
      <c r="U36" s="21">
        <v>0.6988</v>
      </c>
      <c r="V36" s="6"/>
      <c r="W36" s="18">
        <v>10423.0</v>
      </c>
      <c r="X36" s="14">
        <v>87279.0</v>
      </c>
      <c r="Y36" s="14">
        <v>11114.0</v>
      </c>
      <c r="Z36" s="14">
        <v>147.0</v>
      </c>
      <c r="AA36" s="6"/>
      <c r="AB36" s="6"/>
      <c r="AC36" s="6"/>
      <c r="AD36" s="6"/>
      <c r="AE36" s="6"/>
      <c r="AF36" s="6"/>
    </row>
    <row r="37" ht="14.25" customHeight="1">
      <c r="A37" s="6"/>
      <c r="B37" s="6"/>
      <c r="C37" s="6"/>
      <c r="D37" s="6"/>
      <c r="E37" s="6"/>
      <c r="F37" s="6"/>
      <c r="G37" s="30" t="s">
        <v>21</v>
      </c>
      <c r="H37" s="31" t="str">
        <f t="shared" ref="H37:H40" si="17">IFERROR((B48-B27)/B27,"")</f>
        <v/>
      </c>
      <c r="I37" s="6"/>
      <c r="J37" s="30" t="s">
        <v>21</v>
      </c>
      <c r="K37" s="31" t="str">
        <f t="shared" ref="K37:K40" si="18">IFERROR((E48-E27)/E27,"")</f>
        <v/>
      </c>
      <c r="L37" s="6"/>
      <c r="M37" s="6"/>
      <c r="N37" s="6"/>
      <c r="O37" s="6"/>
      <c r="P37" s="6"/>
      <c r="Q37" s="6"/>
      <c r="R37" s="18">
        <v>10424.0</v>
      </c>
      <c r="S37" s="19">
        <v>46276.0</v>
      </c>
      <c r="T37" s="20" t="s">
        <v>25</v>
      </c>
      <c r="U37" s="21">
        <v>0.7182</v>
      </c>
      <c r="V37" s="6"/>
      <c r="W37" s="18">
        <v>10424.0</v>
      </c>
      <c r="X37" s="14">
        <v>64698.0</v>
      </c>
      <c r="Y37" s="14">
        <v>8368.0</v>
      </c>
      <c r="Z37" s="14">
        <v>82.0</v>
      </c>
      <c r="AA37" s="6"/>
      <c r="AB37" s="6"/>
      <c r="AC37" s="6"/>
      <c r="AD37" s="6"/>
      <c r="AE37" s="6"/>
      <c r="AF37" s="6"/>
    </row>
    <row r="38" ht="14.25" customHeight="1">
      <c r="A38" s="6"/>
      <c r="B38" s="6"/>
      <c r="C38" s="6"/>
      <c r="D38" s="6"/>
      <c r="E38" s="6"/>
      <c r="F38" s="6"/>
      <c r="G38" s="32" t="s">
        <v>24</v>
      </c>
      <c r="H38" s="33">
        <f t="shared" si="17"/>
        <v>-1</v>
      </c>
      <c r="I38" s="6"/>
      <c r="J38" s="32" t="s">
        <v>24</v>
      </c>
      <c r="K38" s="33">
        <f t="shared" si="18"/>
        <v>-1</v>
      </c>
      <c r="L38" s="6"/>
      <c r="M38" s="6"/>
      <c r="N38" s="6"/>
      <c r="O38" s="6"/>
      <c r="P38" s="6"/>
      <c r="Q38" s="6"/>
      <c r="R38" s="18">
        <v>10425.0</v>
      </c>
      <c r="S38" s="19">
        <v>46276.0</v>
      </c>
      <c r="T38" s="20" t="s">
        <v>28</v>
      </c>
      <c r="U38" s="21">
        <v>0.6014</v>
      </c>
      <c r="V38" s="6"/>
      <c r="W38" s="18">
        <v>10425.0</v>
      </c>
      <c r="X38" s="22">
        <v>78274.0</v>
      </c>
      <c r="Y38" s="22">
        <v>9102.0</v>
      </c>
      <c r="Z38" s="22">
        <v>137.0</v>
      </c>
      <c r="AA38" s="6"/>
      <c r="AB38" s="6"/>
      <c r="AC38" s="6"/>
      <c r="AD38" s="6"/>
      <c r="AE38" s="6"/>
      <c r="AF38" s="6"/>
    </row>
    <row r="39" ht="14.25" customHeight="1">
      <c r="A39" s="6"/>
      <c r="B39" s="6"/>
      <c r="C39" s="6"/>
      <c r="D39" s="6"/>
      <c r="E39" s="6"/>
      <c r="F39" s="6"/>
      <c r="G39" s="32" t="s">
        <v>26</v>
      </c>
      <c r="H39" s="33">
        <f t="shared" si="17"/>
        <v>-1</v>
      </c>
      <c r="I39" s="6"/>
      <c r="J39" s="32" t="s">
        <v>26</v>
      </c>
      <c r="K39" s="33">
        <f t="shared" si="18"/>
        <v>-1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34" t="s">
        <v>29</v>
      </c>
      <c r="X39" s="35">
        <f t="shared" ref="X39:Z39" si="19">SUM(X28:X38)</f>
        <v>845642</v>
      </c>
      <c r="Y39" s="35">
        <f t="shared" si="19"/>
        <v>112657</v>
      </c>
      <c r="Z39" s="35">
        <f t="shared" si="19"/>
        <v>1905</v>
      </c>
      <c r="AB39" s="6"/>
      <c r="AC39" s="6"/>
      <c r="AD39" s="6"/>
      <c r="AE39" s="6"/>
      <c r="AF39" s="6"/>
    </row>
    <row r="40" ht="14.25" customHeight="1">
      <c r="A40" s="6"/>
      <c r="B40" s="6"/>
      <c r="C40" s="6"/>
      <c r="D40" s="6"/>
      <c r="E40" s="6"/>
      <c r="F40" s="6"/>
      <c r="G40" s="32" t="s">
        <v>27</v>
      </c>
      <c r="H40" s="33">
        <f t="shared" si="17"/>
        <v>-1</v>
      </c>
      <c r="I40" s="6"/>
      <c r="J40" s="32" t="s">
        <v>27</v>
      </c>
      <c r="K40" s="33">
        <f t="shared" si="18"/>
        <v>-1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71" t="s">
        <v>47</v>
      </c>
      <c r="AC40" s="72"/>
      <c r="AD40" s="72"/>
      <c r="AE40" s="73"/>
      <c r="AF40" s="6"/>
    </row>
    <row r="41" ht="15.0" customHeight="1">
      <c r="A41" s="6"/>
      <c r="B41" s="6"/>
      <c r="C41" s="6"/>
      <c r="D41" s="6"/>
      <c r="E41" s="6"/>
      <c r="F41" s="6"/>
      <c r="G41" s="38" t="s">
        <v>31</v>
      </c>
      <c r="H41" s="39" t="str">
        <f>IFERROR((#REF!-B31)/B31,"")</f>
        <v/>
      </c>
      <c r="J41" s="38" t="s">
        <v>32</v>
      </c>
      <c r="K41" s="39" t="str">
        <f>IFERROR((#REF!-E31)/E31,"")</f>
        <v/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78" t="s">
        <v>33</v>
      </c>
      <c r="AC41" s="41"/>
      <c r="AD41" s="41"/>
      <c r="AE41" s="79"/>
      <c r="AF41" s="6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80" t="s">
        <v>34</v>
      </c>
      <c r="AC42" s="12" t="s">
        <v>18</v>
      </c>
      <c r="AD42" s="12" t="s">
        <v>19</v>
      </c>
      <c r="AE42" s="81" t="s">
        <v>20</v>
      </c>
      <c r="AF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43" t="s">
        <v>22</v>
      </c>
      <c r="AC43" s="44">
        <f t="shared" ref="AC43:AE43" si="20">X47-X28</f>
        <v>-89998</v>
      </c>
      <c r="AD43" s="44">
        <f t="shared" si="20"/>
        <v>-12257</v>
      </c>
      <c r="AE43" s="45">
        <f t="shared" si="20"/>
        <v>-316</v>
      </c>
      <c r="AF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8" t="s">
        <v>56</v>
      </c>
      <c r="AA44" s="6"/>
      <c r="AB44" s="43" t="s">
        <v>25</v>
      </c>
      <c r="AC44" s="46">
        <f t="shared" ref="AC44:AE44" si="21">X48-X29</f>
        <v>-36840</v>
      </c>
      <c r="AD44" s="46">
        <f t="shared" si="21"/>
        <v>-8302</v>
      </c>
      <c r="AE44" s="47">
        <f t="shared" si="21"/>
        <v>-64</v>
      </c>
      <c r="AF44" s="6"/>
    </row>
    <row r="45" ht="14.25" customHeight="1">
      <c r="A45" s="48" t="s">
        <v>56</v>
      </c>
      <c r="B45" s="2"/>
      <c r="C45" s="2"/>
      <c r="D45" s="2"/>
      <c r="E45" s="3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0" t="s">
        <v>6</v>
      </c>
      <c r="S45" s="10"/>
      <c r="T45" s="10"/>
      <c r="U45" s="10"/>
      <c r="V45" s="6"/>
      <c r="W45" s="9" t="s">
        <v>7</v>
      </c>
      <c r="X45" s="9"/>
      <c r="Y45" s="9"/>
      <c r="Z45" s="9"/>
      <c r="AA45" s="6"/>
      <c r="AB45" s="43" t="s">
        <v>23</v>
      </c>
      <c r="AC45" s="46">
        <f t="shared" ref="AC45:AE45" si="22">X49-X30</f>
        <v>-165538</v>
      </c>
      <c r="AD45" s="46">
        <f t="shared" si="22"/>
        <v>-14042</v>
      </c>
      <c r="AE45" s="47">
        <f t="shared" si="22"/>
        <v>-238</v>
      </c>
      <c r="AF45" s="6"/>
    </row>
    <row r="46" ht="18.75" customHeight="1">
      <c r="A46" s="11" t="s">
        <v>8</v>
      </c>
      <c r="B46" s="11" t="s">
        <v>9</v>
      </c>
      <c r="C46" s="6"/>
      <c r="D46" s="11" t="s">
        <v>8</v>
      </c>
      <c r="E46" s="11" t="s">
        <v>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2" t="s">
        <v>14</v>
      </c>
      <c r="S46" s="12" t="s">
        <v>15</v>
      </c>
      <c r="T46" s="12" t="s">
        <v>11</v>
      </c>
      <c r="U46" s="12" t="s">
        <v>16</v>
      </c>
      <c r="V46" s="6"/>
      <c r="W46" s="11" t="s">
        <v>17</v>
      </c>
      <c r="X46" s="11" t="s">
        <v>18</v>
      </c>
      <c r="Y46" s="11" t="s">
        <v>19</v>
      </c>
      <c r="Z46" s="11" t="s">
        <v>20</v>
      </c>
      <c r="AA46" s="6"/>
      <c r="AB46" s="43" t="s">
        <v>23</v>
      </c>
      <c r="AC46" s="46">
        <f t="shared" ref="AC46:AE46" si="23">X50-X31</f>
        <v>-82686</v>
      </c>
      <c r="AD46" s="46">
        <f t="shared" si="23"/>
        <v>-10318</v>
      </c>
      <c r="AE46" s="47">
        <f t="shared" si="23"/>
        <v>-125</v>
      </c>
      <c r="AF46" s="6"/>
    </row>
    <row r="47" ht="14.25" customHeight="1">
      <c r="A47" s="13" t="s">
        <v>21</v>
      </c>
      <c r="B47" s="14"/>
      <c r="C47" s="6"/>
      <c r="D47" s="13" t="s">
        <v>21</v>
      </c>
      <c r="E47" s="14"/>
      <c r="F47" s="6"/>
      <c r="G47" s="6"/>
      <c r="H47" s="6"/>
      <c r="I47" s="6"/>
      <c r="J47" s="6"/>
      <c r="K47" s="6"/>
      <c r="L47" s="6"/>
      <c r="M47" s="6"/>
      <c r="N47" s="9" t="s">
        <v>5</v>
      </c>
      <c r="O47" s="9"/>
      <c r="P47" s="9"/>
      <c r="Q47" s="6"/>
      <c r="R47" s="18"/>
      <c r="S47" s="19"/>
      <c r="T47" s="20"/>
      <c r="U47" s="21"/>
      <c r="V47" s="6"/>
      <c r="W47" s="18"/>
      <c r="X47" s="22"/>
      <c r="Y47" s="22"/>
      <c r="Z47" s="22"/>
      <c r="AA47" s="6"/>
      <c r="AB47" s="43" t="s">
        <v>25</v>
      </c>
      <c r="AC47" s="46">
        <f t="shared" ref="AC47:AE47" si="24">X51-X32</f>
        <v>-40799</v>
      </c>
      <c r="AD47" s="46">
        <f t="shared" si="24"/>
        <v>-7796</v>
      </c>
      <c r="AE47" s="47">
        <f t="shared" si="24"/>
        <v>-56</v>
      </c>
      <c r="AF47" s="6"/>
    </row>
    <row r="48" ht="14.25" customHeight="1">
      <c r="A48" s="15" t="s">
        <v>24</v>
      </c>
      <c r="B48" s="14"/>
      <c r="C48" s="6"/>
      <c r="D48" s="15" t="s">
        <v>24</v>
      </c>
      <c r="E48" s="14"/>
      <c r="F48" s="6"/>
      <c r="G48" s="6"/>
      <c r="H48" s="6"/>
      <c r="I48" s="6"/>
      <c r="J48" s="6"/>
      <c r="K48" s="6"/>
      <c r="L48" s="6"/>
      <c r="M48" s="6"/>
      <c r="N48" s="11" t="s">
        <v>11</v>
      </c>
      <c r="O48" s="11" t="s">
        <v>12</v>
      </c>
      <c r="P48" s="11" t="s">
        <v>13</v>
      </c>
      <c r="Q48" s="6"/>
      <c r="R48" s="18"/>
      <c r="S48" s="19"/>
      <c r="T48" s="20"/>
      <c r="U48" s="21"/>
      <c r="V48" s="6"/>
      <c r="W48" s="18"/>
      <c r="X48" s="14"/>
      <c r="Y48" s="14"/>
      <c r="Z48" s="14"/>
      <c r="AA48" s="6"/>
      <c r="AB48" s="43" t="s">
        <v>23</v>
      </c>
      <c r="AC48" s="46">
        <f t="shared" ref="AC48:AE48" si="25">X52-X33</f>
        <v>-74289</v>
      </c>
      <c r="AD48" s="46">
        <f t="shared" si="25"/>
        <v>-11090</v>
      </c>
      <c r="AE48" s="47">
        <f t="shared" si="25"/>
        <v>-250</v>
      </c>
      <c r="AF48" s="6"/>
    </row>
    <row r="49" ht="14.25" customHeight="1">
      <c r="A49" s="15" t="s">
        <v>26</v>
      </c>
      <c r="B49" s="14"/>
      <c r="C49" s="6"/>
      <c r="D49" s="15" t="s">
        <v>26</v>
      </c>
      <c r="E49" s="14"/>
      <c r="F49" s="6"/>
      <c r="G49" s="6"/>
      <c r="H49" s="6"/>
      <c r="I49" s="6"/>
      <c r="J49" s="6"/>
      <c r="K49" s="6"/>
      <c r="L49" s="6"/>
      <c r="M49" s="6"/>
      <c r="N49" s="15" t="s">
        <v>22</v>
      </c>
      <c r="O49" s="16">
        <f t="shared" ref="O49:O52" si="27">COUNTIF($T$47:$T$57,N49)</f>
        <v>0</v>
      </c>
      <c r="P49" s="17"/>
      <c r="Q49" s="6"/>
      <c r="R49" s="18"/>
      <c r="S49" s="19"/>
      <c r="T49" s="20"/>
      <c r="U49" s="21"/>
      <c r="V49" s="6"/>
      <c r="W49" s="18"/>
      <c r="X49" s="14"/>
      <c r="Y49" s="14"/>
      <c r="Z49" s="14"/>
      <c r="AA49" s="6"/>
      <c r="AB49" s="43" t="s">
        <v>23</v>
      </c>
      <c r="AC49" s="46">
        <f t="shared" ref="AC49:AE49" si="26">X53-X34</f>
        <v>-94024</v>
      </c>
      <c r="AD49" s="46">
        <f t="shared" si="26"/>
        <v>-11634</v>
      </c>
      <c r="AE49" s="47">
        <f t="shared" si="26"/>
        <v>-326</v>
      </c>
      <c r="AF49" s="6"/>
    </row>
    <row r="50" ht="14.25" customHeight="1">
      <c r="A50" s="15" t="s">
        <v>27</v>
      </c>
      <c r="B50" s="14"/>
      <c r="C50" s="6"/>
      <c r="D50" s="15" t="s">
        <v>27</v>
      </c>
      <c r="E50" s="14"/>
      <c r="F50" s="6"/>
      <c r="G50" s="6"/>
      <c r="H50" s="6"/>
      <c r="I50" s="6"/>
      <c r="J50" s="6"/>
      <c r="K50" s="6"/>
      <c r="L50" s="6"/>
      <c r="M50" s="6"/>
      <c r="N50" s="15" t="s">
        <v>25</v>
      </c>
      <c r="O50" s="16">
        <f t="shared" si="27"/>
        <v>0</v>
      </c>
      <c r="P50" s="17"/>
      <c r="Q50" s="6"/>
      <c r="R50" s="18"/>
      <c r="S50" s="19"/>
      <c r="T50" s="20"/>
      <c r="U50" s="21"/>
      <c r="V50" s="6"/>
      <c r="W50" s="18"/>
      <c r="X50" s="14"/>
      <c r="Y50" s="14"/>
      <c r="Z50" s="14"/>
      <c r="AA50" s="6"/>
      <c r="AB50" s="52" t="s">
        <v>25</v>
      </c>
      <c r="AC50" s="46">
        <f t="shared" ref="AC50:AE50" si="28">X54-X35</f>
        <v>-31217</v>
      </c>
      <c r="AD50" s="46">
        <f t="shared" si="28"/>
        <v>-8634</v>
      </c>
      <c r="AE50" s="47">
        <f t="shared" si="28"/>
        <v>-164</v>
      </c>
      <c r="AF50" s="6"/>
    </row>
    <row r="51" ht="14.25" customHeight="1">
      <c r="B51" s="23">
        <f>SUMPRODUCT(B47:B50)</f>
        <v>0</v>
      </c>
      <c r="C51" s="6"/>
      <c r="E51" s="23">
        <f>SUMPRODUCT(E47:E50)</f>
        <v>0</v>
      </c>
      <c r="F51" s="6"/>
      <c r="G51" s="6"/>
      <c r="H51" s="6"/>
      <c r="I51" s="6"/>
      <c r="J51" s="6"/>
      <c r="K51" s="6"/>
      <c r="L51" s="6"/>
      <c r="M51" s="6"/>
      <c r="N51" s="15" t="s">
        <v>23</v>
      </c>
      <c r="O51" s="16">
        <f t="shared" si="27"/>
        <v>0</v>
      </c>
      <c r="P51" s="17"/>
      <c r="Q51" s="6"/>
      <c r="R51" s="18"/>
      <c r="S51" s="19"/>
      <c r="T51" s="20"/>
      <c r="U51" s="21"/>
      <c r="V51" s="6"/>
      <c r="W51" s="18"/>
      <c r="X51" s="14"/>
      <c r="Y51" s="14"/>
      <c r="Z51" s="14"/>
      <c r="AA51" s="6"/>
      <c r="AB51" s="43" t="s">
        <v>25</v>
      </c>
      <c r="AC51" s="46">
        <f t="shared" ref="AC51:AE51" si="29">X55-X36</f>
        <v>-87279</v>
      </c>
      <c r="AD51" s="46">
        <f t="shared" si="29"/>
        <v>-11114</v>
      </c>
      <c r="AE51" s="47">
        <f t="shared" si="29"/>
        <v>-147</v>
      </c>
      <c r="AF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5" t="s">
        <v>28</v>
      </c>
      <c r="O52" s="16">
        <f t="shared" si="27"/>
        <v>0</v>
      </c>
      <c r="P52" s="17"/>
      <c r="Q52" s="6"/>
      <c r="R52" s="18"/>
      <c r="S52" s="19"/>
      <c r="T52" s="20"/>
      <c r="U52" s="21"/>
      <c r="V52" s="6"/>
      <c r="W52" s="18"/>
      <c r="X52" s="14"/>
      <c r="Y52" s="14"/>
      <c r="Z52" s="14"/>
      <c r="AA52" s="6"/>
      <c r="AB52" s="43" t="s">
        <v>25</v>
      </c>
      <c r="AC52" s="46">
        <f t="shared" ref="AC52:AE52" si="30">X56-X37</f>
        <v>-64698</v>
      </c>
      <c r="AD52" s="46">
        <f t="shared" si="30"/>
        <v>-8368</v>
      </c>
      <c r="AE52" s="47">
        <f t="shared" si="30"/>
        <v>-82</v>
      </c>
      <c r="AF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24" t="s">
        <v>29</v>
      </c>
      <c r="O53" s="25">
        <f>SUM(O49:O52)</f>
        <v>0</v>
      </c>
      <c r="P53" s="26" t="str">
        <f>AVERAGE(P49:P51)</f>
        <v>#DIV/0!</v>
      </c>
      <c r="Q53" s="6"/>
      <c r="R53" s="18"/>
      <c r="S53" s="19"/>
      <c r="T53" s="20"/>
      <c r="U53" s="21"/>
      <c r="V53" s="6"/>
      <c r="W53" s="18"/>
      <c r="X53" s="14"/>
      <c r="Y53" s="14"/>
      <c r="Z53" s="14"/>
      <c r="AA53" s="6"/>
      <c r="AB53" s="43" t="s">
        <v>28</v>
      </c>
      <c r="AC53" s="62">
        <f t="shared" ref="AC53:AE53" si="31">X57-X38</f>
        <v>-78274</v>
      </c>
      <c r="AD53" s="62">
        <f t="shared" si="31"/>
        <v>-9102</v>
      </c>
      <c r="AE53" s="63">
        <f t="shared" si="31"/>
        <v>-137</v>
      </c>
      <c r="AF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8"/>
      <c r="S54" s="19"/>
      <c r="T54" s="65"/>
      <c r="U54" s="21"/>
      <c r="V54" s="6"/>
      <c r="W54" s="18"/>
      <c r="X54" s="14"/>
      <c r="Y54" s="14"/>
      <c r="Z54" s="14"/>
      <c r="AA54" s="6"/>
      <c r="AB54" s="6"/>
      <c r="AC54" s="6"/>
      <c r="AD54" s="6"/>
      <c r="AE54" s="6"/>
      <c r="AF54" s="6"/>
    </row>
    <row r="55" ht="14.25" customHeight="1">
      <c r="A55" s="6"/>
      <c r="B55" s="6"/>
      <c r="C55" s="6"/>
      <c r="D55" s="6"/>
      <c r="E55" s="6"/>
      <c r="F55" s="6"/>
      <c r="G55" s="29" t="s">
        <v>30</v>
      </c>
      <c r="H55" s="29"/>
      <c r="I55" s="6"/>
      <c r="J55" s="29" t="s">
        <v>30</v>
      </c>
      <c r="K55" s="29"/>
      <c r="L55" s="6"/>
      <c r="M55" s="6"/>
      <c r="N55" s="6"/>
      <c r="O55" s="6"/>
      <c r="P55" s="6"/>
      <c r="Q55" s="6"/>
      <c r="R55" s="18"/>
      <c r="S55" s="19"/>
      <c r="T55" s="20"/>
      <c r="U55" s="21"/>
      <c r="V55" s="6"/>
      <c r="W55" s="18"/>
      <c r="X55" s="14"/>
      <c r="Y55" s="14"/>
      <c r="Z55" s="14"/>
      <c r="AA55" s="6"/>
      <c r="AB55" s="6"/>
      <c r="AC55" s="6"/>
      <c r="AD55" s="6"/>
      <c r="AE55" s="6"/>
      <c r="AF55" s="6"/>
    </row>
    <row r="56" ht="14.25" customHeight="1">
      <c r="A56" s="6"/>
      <c r="B56" s="6"/>
      <c r="C56" s="6"/>
      <c r="D56" s="6"/>
      <c r="E56" s="6"/>
      <c r="F56" s="6"/>
      <c r="G56" s="12" t="s">
        <v>8</v>
      </c>
      <c r="H56" s="12" t="s">
        <v>9</v>
      </c>
      <c r="I56" s="6"/>
      <c r="J56" s="12" t="s">
        <v>8</v>
      </c>
      <c r="K56" s="12" t="s">
        <v>10</v>
      </c>
      <c r="L56" s="6"/>
      <c r="M56" s="6"/>
      <c r="N56" s="6"/>
      <c r="O56" s="6"/>
      <c r="P56" s="6"/>
      <c r="Q56" s="6"/>
      <c r="R56" s="18"/>
      <c r="S56" s="19"/>
      <c r="T56" s="20"/>
      <c r="U56" s="21"/>
      <c r="V56" s="6"/>
      <c r="W56" s="18"/>
      <c r="X56" s="14"/>
      <c r="Y56" s="14"/>
      <c r="Z56" s="14"/>
      <c r="AA56" s="6"/>
      <c r="AB56" s="6"/>
      <c r="AC56" s="6"/>
      <c r="AD56" s="6"/>
      <c r="AE56" s="6"/>
      <c r="AF56" s="6"/>
    </row>
    <row r="57" ht="14.25" customHeight="1">
      <c r="A57" s="6"/>
      <c r="B57" s="6"/>
      <c r="C57" s="6"/>
      <c r="D57" s="6"/>
      <c r="E57" s="6"/>
      <c r="F57" s="6"/>
      <c r="G57" s="30" t="s">
        <v>21</v>
      </c>
      <c r="H57" s="31" t="str">
        <f t="shared" ref="H57:H60" si="32">IFERROR((B66-B47)/B47,"")</f>
        <v/>
      </c>
      <c r="I57" s="6"/>
      <c r="J57" s="30" t="s">
        <v>21</v>
      </c>
      <c r="K57" s="31" t="str">
        <f t="shared" ref="K57:K60" si="33">IFERROR((E66-E47)/E47,"")</f>
        <v/>
      </c>
      <c r="L57" s="6"/>
      <c r="M57" s="6"/>
      <c r="N57" s="6"/>
      <c r="O57" s="6"/>
      <c r="P57" s="6"/>
      <c r="Q57" s="6"/>
      <c r="R57" s="18"/>
      <c r="S57" s="19"/>
      <c r="T57" s="20"/>
      <c r="U57" s="21"/>
      <c r="V57" s="6"/>
      <c r="W57" s="18"/>
      <c r="X57" s="14"/>
      <c r="Y57" s="14"/>
      <c r="Z57" s="14"/>
      <c r="AA57" s="6"/>
      <c r="AB57" s="6"/>
      <c r="AC57" s="6"/>
      <c r="AD57" s="6"/>
      <c r="AE57" s="6"/>
      <c r="AF57" s="6"/>
    </row>
    <row r="58" ht="14.25" customHeight="1">
      <c r="A58" s="6"/>
      <c r="B58" s="6"/>
      <c r="C58" s="6"/>
      <c r="D58" s="6"/>
      <c r="E58" s="6"/>
      <c r="F58" s="6"/>
      <c r="G58" s="32" t="s">
        <v>24</v>
      </c>
      <c r="H58" s="33" t="str">
        <f t="shared" si="32"/>
        <v/>
      </c>
      <c r="I58" s="6"/>
      <c r="J58" s="32" t="s">
        <v>24</v>
      </c>
      <c r="K58" s="33" t="str">
        <f t="shared" si="33"/>
        <v/>
      </c>
      <c r="L58" s="6"/>
      <c r="M58" s="6"/>
      <c r="N58" s="6"/>
      <c r="P58" s="6"/>
      <c r="Q58" s="6"/>
      <c r="R58" s="6"/>
      <c r="S58" s="6"/>
      <c r="T58" s="6"/>
      <c r="U58" s="6"/>
      <c r="V58" s="6"/>
      <c r="W58" s="34" t="s">
        <v>29</v>
      </c>
      <c r="X58" s="35">
        <f t="shared" ref="X58:Z58" si="34">SUM(X47:X57)</f>
        <v>0</v>
      </c>
      <c r="Y58" s="35">
        <f t="shared" si="34"/>
        <v>0</v>
      </c>
      <c r="Z58" s="35">
        <f t="shared" si="34"/>
        <v>0</v>
      </c>
      <c r="AA58" s="6"/>
      <c r="AB58" s="6"/>
      <c r="AC58" s="6"/>
      <c r="AD58" s="6"/>
      <c r="AE58" s="6"/>
      <c r="AF58" s="6"/>
    </row>
    <row r="59" ht="14.25" customHeight="1">
      <c r="A59" s="6"/>
      <c r="B59" s="6"/>
      <c r="C59" s="6"/>
      <c r="D59" s="6"/>
      <c r="E59" s="6"/>
      <c r="F59" s="6"/>
      <c r="G59" s="32" t="s">
        <v>26</v>
      </c>
      <c r="H59" s="33" t="str">
        <f t="shared" si="32"/>
        <v/>
      </c>
      <c r="I59" s="6"/>
      <c r="J59" s="32" t="s">
        <v>26</v>
      </c>
      <c r="K59" s="33" t="str">
        <f t="shared" si="33"/>
        <v/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36" t="s">
        <v>56</v>
      </c>
      <c r="AC59" s="37"/>
      <c r="AD59" s="37"/>
      <c r="AE59" s="28"/>
      <c r="AF59" s="6"/>
    </row>
    <row r="60" ht="14.25" customHeight="1">
      <c r="A60" s="6"/>
      <c r="B60" s="6"/>
      <c r="C60" s="6"/>
      <c r="D60" s="6"/>
      <c r="E60" s="6"/>
      <c r="F60" s="6"/>
      <c r="G60" s="32" t="s">
        <v>27</v>
      </c>
      <c r="H60" s="33" t="str">
        <f t="shared" si="32"/>
        <v/>
      </c>
      <c r="I60" s="6"/>
      <c r="J60" s="32" t="s">
        <v>27</v>
      </c>
      <c r="K60" s="33" t="str">
        <f t="shared" si="33"/>
        <v/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78" t="s">
        <v>33</v>
      </c>
      <c r="AC60" s="41"/>
      <c r="AD60" s="41"/>
      <c r="AE60" s="79"/>
      <c r="AF60" s="6"/>
    </row>
    <row r="61" ht="14.25" customHeight="1">
      <c r="A61" s="6"/>
      <c r="B61" s="6"/>
      <c r="C61" s="6"/>
      <c r="D61" s="6"/>
      <c r="E61" s="6"/>
      <c r="F61" s="6"/>
      <c r="G61" s="38" t="s">
        <v>31</v>
      </c>
      <c r="H61" s="39" t="str">
        <f>IFERROR((#REF!-B51)/B51,"")</f>
        <v/>
      </c>
      <c r="J61" s="38" t="s">
        <v>32</v>
      </c>
      <c r="K61" s="39" t="str">
        <f>IFERROR((#REF!-E51)/E51,"")</f>
        <v/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80" t="s">
        <v>34</v>
      </c>
      <c r="AC61" s="12" t="s">
        <v>18</v>
      </c>
      <c r="AD61" s="12" t="s">
        <v>19</v>
      </c>
      <c r="AE61" s="81" t="s">
        <v>20</v>
      </c>
      <c r="AF61" s="6"/>
    </row>
    <row r="62" ht="14.25" customHeight="1">
      <c r="A62" s="48" t="s">
        <v>68</v>
      </c>
      <c r="B62" s="2"/>
      <c r="C62" s="2"/>
      <c r="D62" s="2"/>
      <c r="E62" s="3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43" t="s">
        <v>22</v>
      </c>
      <c r="AC62" s="44">
        <f t="shared" ref="AC62:AE62" si="35">X66-X47</f>
        <v>0</v>
      </c>
      <c r="AD62" s="44">
        <f t="shared" si="35"/>
        <v>0</v>
      </c>
      <c r="AE62" s="45">
        <f t="shared" si="35"/>
        <v>0</v>
      </c>
      <c r="AF62" s="6"/>
    </row>
    <row r="63" ht="14.25" customHeight="1">
      <c r="A63" s="11" t="s">
        <v>8</v>
      </c>
      <c r="B63" s="11" t="s">
        <v>9</v>
      </c>
      <c r="C63" s="6"/>
      <c r="D63" s="11" t="s">
        <v>8</v>
      </c>
      <c r="E63" s="11" t="s">
        <v>10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8" t="s">
        <v>68</v>
      </c>
      <c r="AA63" s="6"/>
      <c r="AB63" s="43" t="s">
        <v>25</v>
      </c>
      <c r="AC63" s="46">
        <f t="shared" ref="AC63:AE63" si="36">X67-X48</f>
        <v>0</v>
      </c>
      <c r="AD63" s="46">
        <f t="shared" si="36"/>
        <v>0</v>
      </c>
      <c r="AE63" s="47">
        <f t="shared" si="36"/>
        <v>0</v>
      </c>
      <c r="AF63" s="6"/>
    </row>
    <row r="64" ht="14.25" customHeight="1">
      <c r="A64" s="13" t="s">
        <v>21</v>
      </c>
      <c r="B64" s="14"/>
      <c r="C64" s="6"/>
      <c r="D64" s="13" t="s">
        <v>21</v>
      </c>
      <c r="E64" s="1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0" t="s">
        <v>6</v>
      </c>
      <c r="S64" s="10"/>
      <c r="T64" s="10"/>
      <c r="U64" s="10"/>
      <c r="V64" s="6"/>
      <c r="W64" s="9" t="s">
        <v>7</v>
      </c>
      <c r="X64" s="9"/>
      <c r="Y64" s="9"/>
      <c r="Z64" s="9"/>
      <c r="AA64" s="6"/>
      <c r="AB64" s="43" t="s">
        <v>23</v>
      </c>
      <c r="AC64" s="46">
        <f t="shared" ref="AC64:AE64" si="37">X68-X49</f>
        <v>0</v>
      </c>
      <c r="AD64" s="46">
        <f t="shared" si="37"/>
        <v>0</v>
      </c>
      <c r="AE64" s="47">
        <f t="shared" si="37"/>
        <v>0</v>
      </c>
      <c r="AF64" s="6"/>
    </row>
    <row r="65" ht="15.75" customHeight="1">
      <c r="A65" s="15" t="s">
        <v>24</v>
      </c>
      <c r="B65" s="14"/>
      <c r="C65" s="6"/>
      <c r="D65" s="15" t="s">
        <v>24</v>
      </c>
      <c r="E65" s="1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12" t="s">
        <v>14</v>
      </c>
      <c r="S65" s="12" t="s">
        <v>15</v>
      </c>
      <c r="T65" s="12" t="s">
        <v>11</v>
      </c>
      <c r="U65" s="12" t="s">
        <v>16</v>
      </c>
      <c r="V65" s="6"/>
      <c r="W65" s="11" t="s">
        <v>17</v>
      </c>
      <c r="X65" s="11" t="s">
        <v>18</v>
      </c>
      <c r="Y65" s="11" t="s">
        <v>19</v>
      </c>
      <c r="Z65" s="11" t="s">
        <v>20</v>
      </c>
      <c r="AA65" s="6"/>
      <c r="AB65" s="43" t="s">
        <v>23</v>
      </c>
      <c r="AC65" s="46">
        <f t="shared" ref="AC65:AE65" si="38">X69-X50</f>
        <v>0</v>
      </c>
      <c r="AD65" s="46">
        <f t="shared" si="38"/>
        <v>0</v>
      </c>
      <c r="AE65" s="47">
        <f t="shared" si="38"/>
        <v>0</v>
      </c>
      <c r="AF65" s="6"/>
    </row>
    <row r="66" ht="14.25" customHeight="1">
      <c r="A66" s="15" t="s">
        <v>26</v>
      </c>
      <c r="B66" s="14"/>
      <c r="C66" s="6"/>
      <c r="D66" s="15" t="s">
        <v>26</v>
      </c>
      <c r="E66" s="14"/>
      <c r="F66" s="6"/>
      <c r="G66" s="6"/>
      <c r="H66" s="6"/>
      <c r="I66" s="6"/>
      <c r="J66" s="6"/>
      <c r="K66" s="6"/>
      <c r="L66" s="6"/>
      <c r="M66" s="6"/>
      <c r="N66" s="9" t="s">
        <v>5</v>
      </c>
      <c r="O66" s="9"/>
      <c r="P66" s="9"/>
      <c r="Q66" s="6"/>
      <c r="R66" s="18"/>
      <c r="S66" s="19"/>
      <c r="T66" s="20"/>
      <c r="U66" s="21"/>
      <c r="V66" s="6"/>
      <c r="W66" s="18"/>
      <c r="X66" s="22"/>
      <c r="Y66" s="22"/>
      <c r="Z66" s="22"/>
      <c r="AA66" s="6"/>
      <c r="AB66" s="43" t="s">
        <v>25</v>
      </c>
      <c r="AC66" s="46">
        <f t="shared" ref="AC66:AE66" si="39">X70-X51</f>
        <v>0</v>
      </c>
      <c r="AD66" s="46">
        <f t="shared" si="39"/>
        <v>0</v>
      </c>
      <c r="AE66" s="47">
        <f t="shared" si="39"/>
        <v>0</v>
      </c>
      <c r="AF66" s="6"/>
    </row>
    <row r="67" ht="14.25" customHeight="1">
      <c r="A67" s="15" t="s">
        <v>27</v>
      </c>
      <c r="B67" s="14"/>
      <c r="C67" s="6"/>
      <c r="D67" s="15" t="s">
        <v>27</v>
      </c>
      <c r="E67" s="14"/>
      <c r="F67" s="6"/>
      <c r="G67" s="6"/>
      <c r="H67" s="6"/>
      <c r="I67" s="6"/>
      <c r="J67" s="6"/>
      <c r="K67" s="6"/>
      <c r="L67" s="6"/>
      <c r="M67" s="6"/>
      <c r="N67" s="11" t="s">
        <v>11</v>
      </c>
      <c r="O67" s="11" t="s">
        <v>12</v>
      </c>
      <c r="P67" s="11" t="s">
        <v>13</v>
      </c>
      <c r="Q67" s="6"/>
      <c r="R67" s="18"/>
      <c r="S67" s="19"/>
      <c r="T67" s="20"/>
      <c r="U67" s="21"/>
      <c r="V67" s="6"/>
      <c r="W67" s="18"/>
      <c r="X67" s="14"/>
      <c r="Y67" s="14"/>
      <c r="Z67" s="14"/>
      <c r="AA67" s="6"/>
      <c r="AB67" s="43" t="s">
        <v>23</v>
      </c>
      <c r="AC67" s="46">
        <f t="shared" ref="AC67:AE67" si="40">X71-X52</f>
        <v>0</v>
      </c>
      <c r="AD67" s="46">
        <f t="shared" si="40"/>
        <v>0</v>
      </c>
      <c r="AE67" s="47">
        <f t="shared" si="40"/>
        <v>0</v>
      </c>
      <c r="AF67" s="6"/>
    </row>
    <row r="68" ht="14.25" customHeight="1">
      <c r="B68" s="23">
        <f>SUMPRODUCT(B64:B67)</f>
        <v>0</v>
      </c>
      <c r="C68" s="6"/>
      <c r="E68" s="23">
        <f>SUMPRODUCT(E64:E67)</f>
        <v>0</v>
      </c>
      <c r="F68" s="6"/>
      <c r="G68" s="6"/>
      <c r="H68" s="6"/>
      <c r="I68" s="6"/>
      <c r="J68" s="6"/>
      <c r="K68" s="6"/>
      <c r="L68" s="6"/>
      <c r="M68" s="6"/>
      <c r="N68" s="15" t="s">
        <v>22</v>
      </c>
      <c r="O68" s="16">
        <f t="shared" ref="O68:O71" si="42">COUNTIF($T$66:$T$76,N68)</f>
        <v>0</v>
      </c>
      <c r="P68" s="17"/>
      <c r="Q68" s="6"/>
      <c r="R68" s="18"/>
      <c r="S68" s="19"/>
      <c r="T68" s="20"/>
      <c r="U68" s="21"/>
      <c r="V68" s="6"/>
      <c r="W68" s="18"/>
      <c r="X68" s="14"/>
      <c r="Y68" s="14"/>
      <c r="Z68" s="14"/>
      <c r="AA68" s="6"/>
      <c r="AB68" s="43" t="s">
        <v>23</v>
      </c>
      <c r="AC68" s="46">
        <f t="shared" ref="AC68:AE68" si="41">X72-X53</f>
        <v>0</v>
      </c>
      <c r="AD68" s="46">
        <f t="shared" si="41"/>
        <v>0</v>
      </c>
      <c r="AE68" s="47">
        <f t="shared" si="41"/>
        <v>0</v>
      </c>
      <c r="AF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15" t="s">
        <v>25</v>
      </c>
      <c r="O69" s="16">
        <f t="shared" si="42"/>
        <v>0</v>
      </c>
      <c r="P69" s="17"/>
      <c r="Q69" s="6"/>
      <c r="R69" s="18"/>
      <c r="S69" s="19"/>
      <c r="T69" s="20"/>
      <c r="U69" s="21"/>
      <c r="V69" s="6"/>
      <c r="W69" s="18"/>
      <c r="X69" s="14"/>
      <c r="Y69" s="14"/>
      <c r="Z69" s="14"/>
      <c r="AA69" s="6"/>
      <c r="AB69" s="52" t="s">
        <v>25</v>
      </c>
      <c r="AC69" s="46">
        <f t="shared" ref="AC69:AE69" si="43">X73-X54</f>
        <v>0</v>
      </c>
      <c r="AD69" s="46">
        <f t="shared" si="43"/>
        <v>0</v>
      </c>
      <c r="AE69" s="47">
        <f t="shared" si="43"/>
        <v>0</v>
      </c>
      <c r="AF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15" t="s">
        <v>23</v>
      </c>
      <c r="O70" s="16">
        <f t="shared" si="42"/>
        <v>0</v>
      </c>
      <c r="P70" s="17"/>
      <c r="Q70" s="6"/>
      <c r="R70" s="18"/>
      <c r="S70" s="19"/>
      <c r="T70" s="20"/>
      <c r="U70" s="21"/>
      <c r="V70" s="6"/>
      <c r="W70" s="18"/>
      <c r="X70" s="14"/>
      <c r="Y70" s="14"/>
      <c r="Z70" s="14"/>
      <c r="AA70" s="6"/>
      <c r="AB70" s="43" t="s">
        <v>25</v>
      </c>
      <c r="AC70" s="46">
        <f t="shared" ref="AC70:AE70" si="44">X74-X55</f>
        <v>0</v>
      </c>
      <c r="AD70" s="46">
        <f t="shared" si="44"/>
        <v>0</v>
      </c>
      <c r="AE70" s="47">
        <f t="shared" si="44"/>
        <v>0</v>
      </c>
      <c r="AF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15" t="s">
        <v>28</v>
      </c>
      <c r="O71" s="16">
        <f t="shared" si="42"/>
        <v>0</v>
      </c>
      <c r="P71" s="17"/>
      <c r="Q71" s="6"/>
      <c r="R71" s="18"/>
      <c r="S71" s="19"/>
      <c r="T71" s="20"/>
      <c r="U71" s="21"/>
      <c r="V71" s="6"/>
      <c r="W71" s="18"/>
      <c r="X71" s="14"/>
      <c r="Y71" s="14"/>
      <c r="Z71" s="14"/>
      <c r="AA71" s="6"/>
      <c r="AB71" s="43" t="s">
        <v>25</v>
      </c>
      <c r="AC71" s="46">
        <f t="shared" ref="AC71:AE71" si="45">X75-X56</f>
        <v>0</v>
      </c>
      <c r="AD71" s="46">
        <f t="shared" si="45"/>
        <v>0</v>
      </c>
      <c r="AE71" s="47">
        <f t="shared" si="45"/>
        <v>0</v>
      </c>
      <c r="AF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24" t="s">
        <v>29</v>
      </c>
      <c r="O72" s="25">
        <f>SUM(O68:O71)</f>
        <v>0</v>
      </c>
      <c r="P72" s="26" t="str">
        <f>AVERAGE(P68:P70)</f>
        <v>#DIV/0!</v>
      </c>
      <c r="Q72" s="6"/>
      <c r="R72" s="18"/>
      <c r="S72" s="19"/>
      <c r="T72" s="20"/>
      <c r="U72" s="21"/>
      <c r="V72" s="6"/>
      <c r="W72" s="18"/>
      <c r="X72" s="14"/>
      <c r="Y72" s="14"/>
      <c r="Z72" s="14"/>
      <c r="AA72" s="6"/>
      <c r="AB72" s="43" t="s">
        <v>28</v>
      </c>
      <c r="AC72" s="62">
        <f t="shared" ref="AC72:AE72" si="46">X76-X57</f>
        <v>0</v>
      </c>
      <c r="AD72" s="62">
        <f t="shared" si="46"/>
        <v>0</v>
      </c>
      <c r="AE72" s="63">
        <f t="shared" si="46"/>
        <v>0</v>
      </c>
      <c r="AF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18"/>
      <c r="S73" s="19"/>
      <c r="T73" s="65"/>
      <c r="U73" s="21"/>
      <c r="V73" s="6"/>
      <c r="W73" s="18"/>
      <c r="X73" s="14"/>
      <c r="Y73" s="14"/>
      <c r="Z73" s="14"/>
      <c r="AA73" s="6"/>
      <c r="AB73" s="6"/>
      <c r="AC73" s="6"/>
      <c r="AD73" s="6"/>
      <c r="AE73" s="6"/>
      <c r="AF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18"/>
      <c r="S74" s="19"/>
      <c r="T74" s="20"/>
      <c r="U74" s="21"/>
      <c r="V74" s="6"/>
      <c r="W74" s="18"/>
      <c r="X74" s="14"/>
      <c r="Y74" s="14"/>
      <c r="Z74" s="14"/>
      <c r="AA74" s="6"/>
      <c r="AB74" s="6"/>
      <c r="AC74" s="6"/>
      <c r="AD74" s="6"/>
      <c r="AE74" s="6"/>
      <c r="AF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18"/>
      <c r="S75" s="19"/>
      <c r="T75" s="20"/>
      <c r="U75" s="21"/>
      <c r="V75" s="6"/>
      <c r="W75" s="18"/>
      <c r="X75" s="14"/>
      <c r="Y75" s="14"/>
      <c r="Z75" s="14"/>
      <c r="AA75" s="6"/>
      <c r="AB75" s="6"/>
      <c r="AC75" s="6"/>
      <c r="AD75" s="6"/>
      <c r="AE75" s="6"/>
      <c r="AF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8"/>
      <c r="S76" s="19"/>
      <c r="T76" s="20"/>
      <c r="U76" s="21"/>
      <c r="V76" s="6"/>
      <c r="W76" s="18"/>
      <c r="X76" s="14"/>
      <c r="Y76" s="14"/>
      <c r="Z76" s="14"/>
      <c r="AA76" s="6"/>
      <c r="AB76" s="6"/>
      <c r="AC76" s="6"/>
      <c r="AD76" s="6"/>
      <c r="AE76" s="6"/>
      <c r="AF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34" t="s">
        <v>29</v>
      </c>
      <c r="X77" s="35">
        <f t="shared" ref="X77:Z77" si="47">SUM(X66:X76)</f>
        <v>0</v>
      </c>
      <c r="Y77" s="35">
        <f t="shared" si="47"/>
        <v>0</v>
      </c>
      <c r="Z77" s="35">
        <f t="shared" si="47"/>
        <v>0</v>
      </c>
      <c r="AA77" s="6"/>
      <c r="AB77" s="6"/>
      <c r="AC77" s="6"/>
      <c r="AD77" s="6"/>
      <c r="AE77" s="6"/>
      <c r="AF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114" t="s">
        <v>68</v>
      </c>
      <c r="AC78" s="115"/>
      <c r="AD78" s="115"/>
      <c r="AE78" s="116"/>
      <c r="AF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118" t="s">
        <v>33</v>
      </c>
      <c r="AC79" s="2"/>
      <c r="AD79" s="2"/>
      <c r="AE79" s="119"/>
      <c r="AF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120" t="s">
        <v>34</v>
      </c>
      <c r="AC80" s="121" t="s">
        <v>18</v>
      </c>
      <c r="AD80" s="121" t="s">
        <v>19</v>
      </c>
      <c r="AE80" s="122" t="s">
        <v>20</v>
      </c>
      <c r="AF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123" t="s">
        <v>22</v>
      </c>
      <c r="AC81" s="46">
        <f t="shared" ref="AC81:AE81" si="48">X87-X66</f>
        <v>0</v>
      </c>
      <c r="AD81" s="46">
        <f t="shared" si="48"/>
        <v>0</v>
      </c>
      <c r="AE81" s="47">
        <f t="shared" si="48"/>
        <v>0</v>
      </c>
      <c r="AF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123" t="s">
        <v>25</v>
      </c>
      <c r="AC82" s="46">
        <f t="shared" ref="AC82:AD82" si="49">X88-X67</f>
        <v>0</v>
      </c>
      <c r="AD82" s="46">
        <f t="shared" si="49"/>
        <v>0</v>
      </c>
      <c r="AE82" s="47">
        <f t="shared" ref="AE82:AE91" si="51">Z67-Z48</f>
        <v>0</v>
      </c>
      <c r="AF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123" t="s">
        <v>23</v>
      </c>
      <c r="AC83" s="46">
        <f t="shared" ref="AC83:AD83" si="50">X89-X68</f>
        <v>0</v>
      </c>
      <c r="AD83" s="46">
        <f t="shared" si="50"/>
        <v>0</v>
      </c>
      <c r="AE83" s="47">
        <f t="shared" si="51"/>
        <v>0</v>
      </c>
      <c r="AF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123" t="s">
        <v>23</v>
      </c>
      <c r="AC84" s="46">
        <f t="shared" ref="AC84:AD84" si="52">X90-X69</f>
        <v>0</v>
      </c>
      <c r="AD84" s="46">
        <f t="shared" si="52"/>
        <v>0</v>
      </c>
      <c r="AE84" s="47">
        <f t="shared" si="51"/>
        <v>0</v>
      </c>
      <c r="AF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10" t="s">
        <v>6</v>
      </c>
      <c r="S85" s="10"/>
      <c r="T85" s="10"/>
      <c r="U85" s="10"/>
      <c r="V85" s="6"/>
      <c r="W85" s="9" t="s">
        <v>7</v>
      </c>
      <c r="X85" s="9"/>
      <c r="Y85" s="9"/>
      <c r="Z85" s="9"/>
      <c r="AA85" s="6"/>
      <c r="AB85" s="123" t="s">
        <v>25</v>
      </c>
      <c r="AC85" s="46">
        <f t="shared" ref="AC85:AD85" si="53">X91-X70</f>
        <v>0</v>
      </c>
      <c r="AD85" s="46">
        <f t="shared" si="53"/>
        <v>0</v>
      </c>
      <c r="AE85" s="47">
        <f t="shared" si="51"/>
        <v>0</v>
      </c>
      <c r="AF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12" t="s">
        <v>14</v>
      </c>
      <c r="S86" s="12" t="s">
        <v>15</v>
      </c>
      <c r="T86" s="12" t="s">
        <v>11</v>
      </c>
      <c r="U86" s="12" t="s">
        <v>16</v>
      </c>
      <c r="V86" s="6"/>
      <c r="W86" s="11" t="s">
        <v>17</v>
      </c>
      <c r="X86" s="11" t="s">
        <v>18</v>
      </c>
      <c r="Y86" s="11" t="s">
        <v>19</v>
      </c>
      <c r="Z86" s="11" t="s">
        <v>20</v>
      </c>
      <c r="AA86" s="6"/>
      <c r="AB86" s="123" t="s">
        <v>23</v>
      </c>
      <c r="AC86" s="46">
        <f t="shared" ref="AC86:AD86" si="54">X92-X71</f>
        <v>0</v>
      </c>
      <c r="AD86" s="46">
        <f t="shared" si="54"/>
        <v>0</v>
      </c>
      <c r="AE86" s="47">
        <f t="shared" si="51"/>
        <v>0</v>
      </c>
      <c r="AF86" s="6"/>
    </row>
    <row r="87" ht="14.25" customHeight="1">
      <c r="N87" s="9" t="s">
        <v>5</v>
      </c>
      <c r="O87" s="9"/>
      <c r="P87" s="9"/>
      <c r="Q87" s="6"/>
      <c r="R87" s="18"/>
      <c r="S87" s="19"/>
      <c r="T87" s="20"/>
      <c r="U87" s="21"/>
      <c r="V87" s="6"/>
      <c r="W87" s="18"/>
      <c r="X87" s="22"/>
      <c r="Y87" s="22"/>
      <c r="Z87" s="22"/>
      <c r="AB87" s="123" t="s">
        <v>23</v>
      </c>
      <c r="AC87" s="46">
        <f t="shared" ref="AC87:AD87" si="55">X93-X72</f>
        <v>0</v>
      </c>
      <c r="AD87" s="46">
        <f t="shared" si="55"/>
        <v>0</v>
      </c>
      <c r="AE87" s="47">
        <f t="shared" si="51"/>
        <v>0</v>
      </c>
      <c r="AF87" s="6"/>
    </row>
    <row r="88" ht="14.25" customHeight="1">
      <c r="N88" s="11" t="s">
        <v>11</v>
      </c>
      <c r="O88" s="11" t="s">
        <v>12</v>
      </c>
      <c r="P88" s="11" t="s">
        <v>13</v>
      </c>
      <c r="Q88" s="6"/>
      <c r="R88" s="18"/>
      <c r="S88" s="19"/>
      <c r="T88" s="20"/>
      <c r="U88" s="21"/>
      <c r="V88" s="6"/>
      <c r="W88" s="18"/>
      <c r="X88" s="14"/>
      <c r="Y88" s="14"/>
      <c r="Z88" s="14"/>
      <c r="AB88" s="123" t="s">
        <v>25</v>
      </c>
      <c r="AC88" s="46">
        <f t="shared" ref="AC88:AD88" si="56">X94-X73</f>
        <v>0</v>
      </c>
      <c r="AD88" s="46">
        <f t="shared" si="56"/>
        <v>0</v>
      </c>
      <c r="AE88" s="47">
        <f t="shared" si="51"/>
        <v>0</v>
      </c>
    </row>
    <row r="89" ht="14.25" customHeight="1">
      <c r="N89" s="15" t="s">
        <v>22</v>
      </c>
      <c r="O89" s="16">
        <f t="shared" ref="O89:O92" si="58">COUNTIF($T$66:$T$76,N89)</f>
        <v>0</v>
      </c>
      <c r="P89" s="17"/>
      <c r="Q89" s="6"/>
      <c r="R89" s="18"/>
      <c r="S89" s="19"/>
      <c r="T89" s="20"/>
      <c r="U89" s="21"/>
      <c r="V89" s="6"/>
      <c r="W89" s="18"/>
      <c r="X89" s="14"/>
      <c r="Y89" s="14"/>
      <c r="Z89" s="14"/>
      <c r="AB89" s="123" t="s">
        <v>25</v>
      </c>
      <c r="AC89" s="46">
        <f t="shared" ref="AC89:AD89" si="57">X95-X74</f>
        <v>0</v>
      </c>
      <c r="AD89" s="46">
        <f t="shared" si="57"/>
        <v>0</v>
      </c>
      <c r="AE89" s="47">
        <f t="shared" si="51"/>
        <v>0</v>
      </c>
    </row>
    <row r="90" ht="14.25" customHeight="1">
      <c r="N90" s="15" t="s">
        <v>25</v>
      </c>
      <c r="O90" s="16">
        <f t="shared" si="58"/>
        <v>0</v>
      </c>
      <c r="P90" s="17"/>
      <c r="Q90" s="6"/>
      <c r="R90" s="18"/>
      <c r="S90" s="19"/>
      <c r="T90" s="20"/>
      <c r="U90" s="21"/>
      <c r="V90" s="6"/>
      <c r="W90" s="18"/>
      <c r="X90" s="14"/>
      <c r="Y90" s="14"/>
      <c r="Z90" s="14"/>
      <c r="AB90" s="123" t="s">
        <v>25</v>
      </c>
      <c r="AC90" s="46">
        <f t="shared" ref="AC90:AD90" si="59">X96-X75</f>
        <v>0</v>
      </c>
      <c r="AD90" s="46">
        <f t="shared" si="59"/>
        <v>0</v>
      </c>
      <c r="AE90" s="47">
        <f t="shared" si="51"/>
        <v>0</v>
      </c>
    </row>
    <row r="91" ht="14.25" customHeight="1">
      <c r="N91" s="15" t="s">
        <v>23</v>
      </c>
      <c r="O91" s="16">
        <f t="shared" si="58"/>
        <v>0</v>
      </c>
      <c r="P91" s="17"/>
      <c r="Q91" s="6"/>
      <c r="R91" s="18"/>
      <c r="S91" s="19"/>
      <c r="T91" s="20"/>
      <c r="U91" s="21"/>
      <c r="V91" s="6"/>
      <c r="W91" s="18"/>
      <c r="X91" s="14"/>
      <c r="Y91" s="14"/>
      <c r="Z91" s="14"/>
      <c r="AB91" s="130" t="s">
        <v>28</v>
      </c>
      <c r="AC91" s="62">
        <f t="shared" ref="AC91:AD91" si="60">X97-X76</f>
        <v>0</v>
      </c>
      <c r="AD91" s="62">
        <f t="shared" si="60"/>
        <v>0</v>
      </c>
      <c r="AE91" s="63">
        <f t="shared" si="51"/>
        <v>0</v>
      </c>
    </row>
    <row r="92" ht="14.25" customHeight="1">
      <c r="N92" s="15" t="s">
        <v>28</v>
      </c>
      <c r="O92" s="16">
        <f t="shared" si="58"/>
        <v>0</v>
      </c>
      <c r="P92" s="17"/>
      <c r="Q92" s="6"/>
      <c r="R92" s="18"/>
      <c r="S92" s="19"/>
      <c r="T92" s="20"/>
      <c r="U92" s="21"/>
      <c r="V92" s="6"/>
      <c r="W92" s="18"/>
      <c r="X92" s="14"/>
      <c r="Y92" s="14"/>
      <c r="Z92" s="14"/>
    </row>
    <row r="93" ht="14.25" customHeight="1">
      <c r="N93" s="24" t="s">
        <v>29</v>
      </c>
      <c r="O93" s="25">
        <f>SUM(O89:O92)</f>
        <v>0</v>
      </c>
      <c r="P93" s="26" t="str">
        <f>AVERAGE(P89:P91)</f>
        <v>#DIV/0!</v>
      </c>
      <c r="Q93" s="6"/>
      <c r="R93" s="18"/>
      <c r="S93" s="19"/>
      <c r="T93" s="20"/>
      <c r="U93" s="21"/>
      <c r="V93" s="6"/>
      <c r="W93" s="18"/>
      <c r="X93" s="14"/>
      <c r="Y93" s="14"/>
      <c r="Z93" s="14"/>
    </row>
    <row r="94" ht="14.25" customHeight="1">
      <c r="N94" s="6"/>
      <c r="O94" s="6"/>
      <c r="P94" s="6"/>
      <c r="Q94" s="6"/>
      <c r="R94" s="18"/>
      <c r="S94" s="19"/>
      <c r="T94" s="65"/>
      <c r="U94" s="21"/>
      <c r="V94" s="6"/>
      <c r="W94" s="18"/>
      <c r="X94" s="14"/>
      <c r="Y94" s="14"/>
      <c r="Z94" s="14"/>
    </row>
    <row r="95" ht="14.25" customHeight="1">
      <c r="N95" s="6"/>
      <c r="O95" s="6"/>
      <c r="P95" s="6"/>
      <c r="Q95" s="6"/>
      <c r="R95" s="18"/>
      <c r="S95" s="19"/>
      <c r="T95" s="20"/>
      <c r="U95" s="21"/>
      <c r="V95" s="6"/>
      <c r="W95" s="18"/>
      <c r="X95" s="14"/>
      <c r="Y95" s="14"/>
      <c r="Z95" s="14"/>
    </row>
    <row r="96" ht="14.25" customHeight="1">
      <c r="N96" s="6"/>
      <c r="O96" s="6"/>
      <c r="P96" s="6"/>
      <c r="Q96" s="6"/>
      <c r="R96" s="18"/>
      <c r="S96" s="19"/>
      <c r="T96" s="20"/>
      <c r="U96" s="21"/>
      <c r="V96" s="6"/>
      <c r="W96" s="18"/>
      <c r="X96" s="14"/>
      <c r="Y96" s="14"/>
      <c r="Z96" s="14"/>
    </row>
    <row r="97" ht="14.25" customHeight="1">
      <c r="N97" s="6"/>
      <c r="O97" s="6"/>
      <c r="P97" s="6"/>
      <c r="Q97" s="6"/>
      <c r="R97" s="18"/>
      <c r="S97" s="19"/>
      <c r="T97" s="20"/>
      <c r="U97" s="21"/>
      <c r="V97" s="6"/>
      <c r="W97" s="18"/>
      <c r="X97" s="14"/>
      <c r="Y97" s="14"/>
      <c r="Z97" s="14"/>
    </row>
    <row r="98" ht="14.25" customHeight="1">
      <c r="N98" s="6"/>
      <c r="O98" s="6"/>
      <c r="P98" s="6"/>
      <c r="Q98" s="6"/>
      <c r="R98" s="6"/>
      <c r="S98" s="6"/>
      <c r="T98" s="6"/>
      <c r="U98" s="6"/>
      <c r="V98" s="6"/>
      <c r="W98" s="34" t="s">
        <v>29</v>
      </c>
      <c r="X98" s="35">
        <f t="shared" ref="X98:Z98" si="61">SUM(X87:X97)</f>
        <v>0</v>
      </c>
      <c r="Y98" s="35">
        <f t="shared" si="61"/>
        <v>0</v>
      </c>
      <c r="Z98" s="35">
        <f t="shared" si="61"/>
        <v>0</v>
      </c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C1"/>
    <mergeCell ref="A3:E3"/>
    <mergeCell ref="F3:J3"/>
    <mergeCell ref="A4:E4"/>
    <mergeCell ref="R4:Z4"/>
    <mergeCell ref="A5:E5"/>
    <mergeCell ref="G14:H14"/>
    <mergeCell ref="AB41:AE41"/>
    <mergeCell ref="AB59:AE59"/>
    <mergeCell ref="AB60:AE60"/>
    <mergeCell ref="AB78:AE78"/>
    <mergeCell ref="AB79:AE79"/>
    <mergeCell ref="A62:E62"/>
    <mergeCell ref="R63:Z63"/>
    <mergeCell ref="AB19:AE19"/>
    <mergeCell ref="AB20:AE20"/>
    <mergeCell ref="R25:Z25"/>
    <mergeCell ref="A26:E26"/>
    <mergeCell ref="AB40:AE40"/>
    <mergeCell ref="R44:Z44"/>
    <mergeCell ref="A45:E45"/>
  </mergeCells>
  <dataValidations>
    <dataValidation type="list" allowBlank="1" sqref="T7:T17 AB22:AB32 T28:T38 AB43:AB53 T47:T57 AB62:AB72 T66:T76 AB81:AB91 T87:T97">
      <formula1>"Porto,Osasco,Itaqua,Betim"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1.57"/>
    <col customWidth="1" min="6" max="7" width="8.71"/>
    <col customWidth="1" min="8" max="8" width="10.29"/>
    <col customWidth="1" min="9" max="9" width="2.57"/>
    <col customWidth="1" min="10" max="10" width="8.71"/>
    <col customWidth="1" min="11" max="11" width="11.57"/>
    <col customWidth="1" min="12" max="12" width="4.14"/>
    <col customWidth="1" min="13" max="13" width="20.71"/>
    <col customWidth="1" min="14" max="14" width="11.0"/>
    <col customWidth="1" min="15" max="15" width="14.43"/>
    <col customWidth="1" min="16" max="16" width="4.43"/>
    <col customWidth="1" min="17" max="17" width="18.29"/>
    <col customWidth="1" min="18" max="18" width="8.71"/>
    <col customWidth="1" min="19" max="19" width="9.43"/>
    <col customWidth="1" min="20" max="20" width="14.14"/>
    <col customWidth="1" min="21" max="23" width="8.71"/>
    <col customWidth="1" min="24" max="24" width="11.57"/>
    <col customWidth="1" min="25" max="25" width="10.43"/>
    <col customWidth="1" min="26" max="27" width="8.71"/>
    <col customWidth="1" min="28" max="28" width="8.86"/>
    <col customWidth="1" min="29" max="29" width="8.71"/>
    <col customWidth="1" min="30" max="30" width="12.29"/>
    <col customWidth="1" min="31" max="31" width="13.29"/>
    <col customWidth="1" min="32" max="32" width="8.71"/>
  </cols>
  <sheetData>
    <row r="1" ht="14.25" customHeight="1">
      <c r="A1" s="1" t="s">
        <v>88</v>
      </c>
      <c r="B1" s="2"/>
      <c r="C1" s="3"/>
      <c r="AF1" s="6"/>
    </row>
    <row r="2" ht="14.25" customHeight="1">
      <c r="AF2" s="6"/>
    </row>
    <row r="3" ht="14.25" customHeight="1">
      <c r="A3" s="4" t="s">
        <v>1</v>
      </c>
      <c r="B3" s="2"/>
      <c r="C3" s="2"/>
      <c r="D3" s="2"/>
      <c r="E3" s="3"/>
      <c r="F3" s="4"/>
      <c r="G3" s="2"/>
      <c r="H3" s="2"/>
      <c r="I3" s="2"/>
      <c r="J3" s="3"/>
      <c r="K3" s="5"/>
      <c r="L3" s="5"/>
      <c r="M3" s="5"/>
      <c r="N3" s="5" t="s">
        <v>107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F3" s="6"/>
    </row>
    <row r="4" ht="14.25" customHeight="1">
      <c r="A4" s="7" t="s">
        <v>108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 t="s">
        <v>4</v>
      </c>
      <c r="Z4" s="6"/>
      <c r="AA4" s="6"/>
      <c r="AB4" s="6"/>
      <c r="AC4" s="6"/>
      <c r="AD4" s="6"/>
      <c r="AE4" s="6"/>
      <c r="AF4" s="6"/>
    </row>
    <row r="5" ht="14.25" customHeight="1">
      <c r="A5" s="8" t="s">
        <v>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6</v>
      </c>
      <c r="R5" s="10"/>
      <c r="S5" s="10"/>
      <c r="T5" s="10"/>
      <c r="U5" s="6"/>
      <c r="V5" s="9" t="s">
        <v>7</v>
      </c>
      <c r="W5" s="9"/>
      <c r="X5" s="9"/>
      <c r="Y5" s="9"/>
      <c r="Z5" s="6"/>
      <c r="AA5" s="6"/>
      <c r="AB5" s="6"/>
      <c r="AC5" s="6"/>
      <c r="AD5" s="6"/>
      <c r="AE5" s="6"/>
      <c r="AF5" s="6"/>
    </row>
    <row r="6" ht="20.25" customHeight="1">
      <c r="A6" s="11" t="s">
        <v>8</v>
      </c>
      <c r="B6" s="11" t="s">
        <v>9</v>
      </c>
      <c r="C6" s="6"/>
      <c r="D6" s="11" t="s">
        <v>8</v>
      </c>
      <c r="E6" s="11" t="s">
        <v>10</v>
      </c>
      <c r="F6" s="6"/>
      <c r="H6" s="6"/>
      <c r="I6" s="6"/>
      <c r="J6" s="6"/>
      <c r="K6" s="6"/>
      <c r="L6" s="6"/>
      <c r="M6" s="9" t="s">
        <v>5</v>
      </c>
      <c r="N6" s="9"/>
      <c r="O6" s="9"/>
      <c r="P6" s="6"/>
      <c r="Q6" s="12" t="s">
        <v>14</v>
      </c>
      <c r="R6" s="12" t="s">
        <v>15</v>
      </c>
      <c r="S6" s="12" t="s">
        <v>11</v>
      </c>
      <c r="T6" s="12" t="s">
        <v>16</v>
      </c>
      <c r="U6" s="6"/>
      <c r="V6" s="11" t="s">
        <v>17</v>
      </c>
      <c r="W6" s="11" t="s">
        <v>18</v>
      </c>
      <c r="X6" s="11" t="s">
        <v>19</v>
      </c>
      <c r="Y6" s="11" t="s">
        <v>20</v>
      </c>
      <c r="Z6" s="6"/>
      <c r="AA6" s="6"/>
      <c r="AB6" s="6"/>
      <c r="AC6" s="6"/>
      <c r="AD6" s="6"/>
      <c r="AE6" s="6"/>
      <c r="AF6" s="6"/>
    </row>
    <row r="7" ht="15.0" customHeight="1">
      <c r="A7" s="13" t="s">
        <v>55</v>
      </c>
      <c r="B7" s="22">
        <v>56.0</v>
      </c>
      <c r="C7" s="6"/>
      <c r="D7" s="13" t="s">
        <v>55</v>
      </c>
      <c r="E7" s="22">
        <v>150.0</v>
      </c>
      <c r="F7" s="6"/>
      <c r="G7" s="6"/>
      <c r="H7" s="6"/>
      <c r="I7" s="6"/>
      <c r="J7" s="6"/>
      <c r="K7" s="6"/>
      <c r="L7" s="6"/>
      <c r="M7" s="11" t="s">
        <v>11</v>
      </c>
      <c r="N7" s="11" t="s">
        <v>12</v>
      </c>
      <c r="O7" s="11" t="s">
        <v>13</v>
      </c>
      <c r="P7" s="6"/>
      <c r="Q7" s="18">
        <v>10395.0</v>
      </c>
      <c r="R7" s="19">
        <v>46266.0</v>
      </c>
      <c r="S7" s="20" t="s">
        <v>88</v>
      </c>
      <c r="T7" s="21">
        <v>0.5893</v>
      </c>
      <c r="U7" s="6"/>
      <c r="V7" s="18">
        <v>10395.0</v>
      </c>
      <c r="W7" s="14">
        <v>101088.0</v>
      </c>
      <c r="X7" s="14">
        <v>14809.0</v>
      </c>
      <c r="Y7" s="14">
        <v>384.0</v>
      </c>
      <c r="Z7" s="6"/>
      <c r="AA7" s="6"/>
      <c r="AB7" s="6"/>
      <c r="AC7" s="6"/>
      <c r="AD7" s="6"/>
      <c r="AE7" s="6"/>
      <c r="AF7" s="6"/>
    </row>
    <row r="8" ht="14.25" customHeight="1">
      <c r="A8" s="15" t="s">
        <v>53</v>
      </c>
      <c r="B8" s="22">
        <v>61.0</v>
      </c>
      <c r="C8" s="6"/>
      <c r="D8" s="15" t="s">
        <v>53</v>
      </c>
      <c r="E8" s="22">
        <v>60.0</v>
      </c>
      <c r="F8" s="6"/>
      <c r="G8" s="6"/>
      <c r="H8" s="6"/>
      <c r="I8" s="6"/>
      <c r="J8" s="6"/>
      <c r="K8" s="6"/>
      <c r="L8" s="6"/>
      <c r="M8" s="15" t="s">
        <v>88</v>
      </c>
      <c r="N8" s="16">
        <f>COUNTIF($S$7:$S$14,M8)</f>
        <v>2</v>
      </c>
      <c r="O8" s="17">
        <f>AVERAGE(T7:T14)</f>
        <v>0.59275</v>
      </c>
      <c r="P8" s="6"/>
      <c r="Q8" s="18">
        <v>10396.0</v>
      </c>
      <c r="R8" s="19">
        <v>46266.0</v>
      </c>
      <c r="S8" s="20" t="s">
        <v>88</v>
      </c>
      <c r="T8" s="21">
        <v>0.5962</v>
      </c>
      <c r="U8" s="6"/>
      <c r="V8" s="18">
        <v>10396.0</v>
      </c>
      <c r="W8" s="14">
        <v>103527.0</v>
      </c>
      <c r="X8" s="14">
        <v>12863.0</v>
      </c>
      <c r="Y8" s="14">
        <v>331.0</v>
      </c>
      <c r="Z8" s="6"/>
      <c r="AA8" s="6"/>
      <c r="AB8" s="6"/>
      <c r="AC8" s="6"/>
      <c r="AD8" s="6"/>
      <c r="AE8" s="6"/>
      <c r="AF8" s="6"/>
    </row>
    <row r="9" ht="14.25" customHeight="1">
      <c r="A9" s="15" t="s">
        <v>51</v>
      </c>
      <c r="B9" s="22">
        <v>161.0</v>
      </c>
      <c r="C9" s="6"/>
      <c r="D9" s="15" t="s">
        <v>51</v>
      </c>
      <c r="E9" s="22">
        <v>49.0</v>
      </c>
      <c r="F9" s="6"/>
      <c r="G9" s="6"/>
      <c r="H9" s="6"/>
      <c r="I9" s="6"/>
      <c r="J9" s="6"/>
      <c r="K9" s="6"/>
      <c r="L9" s="6"/>
      <c r="M9" s="15"/>
      <c r="N9" s="16"/>
      <c r="O9" s="17"/>
      <c r="P9" s="6"/>
      <c r="Q9" s="6"/>
      <c r="R9" s="6"/>
      <c r="S9" s="6"/>
      <c r="T9" s="6"/>
      <c r="U9" s="6"/>
      <c r="V9" s="18"/>
      <c r="W9" s="14"/>
      <c r="X9" s="14"/>
      <c r="Y9" s="14"/>
      <c r="Z9" s="6"/>
      <c r="AA9" s="6"/>
      <c r="AB9" s="6"/>
      <c r="AC9" s="6"/>
      <c r="AD9" s="6"/>
      <c r="AE9" s="6"/>
      <c r="AF9" s="6"/>
    </row>
    <row r="10" ht="14.25" customHeight="1">
      <c r="B10" s="23">
        <f>SUMPRODUCT(B7:B9)</f>
        <v>278</v>
      </c>
      <c r="C10" s="6"/>
      <c r="D10" s="6"/>
      <c r="E10" s="23">
        <f>SUMPRODUCT(E7:E9)</f>
        <v>259</v>
      </c>
      <c r="F10" s="6"/>
      <c r="G10" s="6"/>
      <c r="H10" s="6"/>
      <c r="I10" s="6"/>
      <c r="J10" s="6"/>
      <c r="K10" s="6"/>
      <c r="L10" s="6"/>
      <c r="M10" s="15"/>
      <c r="N10" s="16"/>
      <c r="O10" s="17"/>
      <c r="P10" s="6"/>
      <c r="Q10" s="6"/>
      <c r="R10" s="6"/>
      <c r="S10" s="6"/>
      <c r="T10" s="6"/>
      <c r="U10" s="6"/>
      <c r="V10" s="18"/>
      <c r="W10" s="14"/>
      <c r="X10" s="14"/>
      <c r="Y10" s="14"/>
      <c r="Z10" s="6"/>
      <c r="AA10" s="6"/>
      <c r="AB10" s="6"/>
      <c r="AC10" s="6"/>
      <c r="AD10" s="6"/>
      <c r="AE10" s="6"/>
      <c r="AF10" s="6"/>
    </row>
    <row r="11" ht="14.25" customHeight="1">
      <c r="A11" s="6"/>
      <c r="C11" s="6"/>
      <c r="D11" s="6"/>
      <c r="F11" s="6"/>
      <c r="G11" s="6"/>
      <c r="H11" s="6"/>
      <c r="I11" s="6"/>
      <c r="J11" s="6"/>
      <c r="K11" s="6"/>
      <c r="L11" s="6"/>
      <c r="M11" s="24" t="s">
        <v>29</v>
      </c>
      <c r="N11" s="25" t="str">
        <f>SUM(N8:N11)</f>
        <v>#REF!</v>
      </c>
      <c r="O11" s="26">
        <f>AVERAGE(O8:O10)</f>
        <v>0.59275</v>
      </c>
      <c r="P11" s="6"/>
      <c r="Q11" s="6"/>
      <c r="R11" s="6"/>
      <c r="S11" s="6"/>
      <c r="T11" s="6"/>
      <c r="U11" s="6"/>
      <c r="V11" s="18"/>
      <c r="W11" s="14"/>
      <c r="X11" s="14"/>
      <c r="Y11" s="14"/>
      <c r="Z11" s="6"/>
      <c r="AA11" s="6"/>
      <c r="AB11" s="6"/>
      <c r="AC11" s="6"/>
      <c r="AD11" s="6"/>
      <c r="AE11" s="6"/>
      <c r="AF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8"/>
      <c r="W12" s="14"/>
      <c r="X12" s="14"/>
      <c r="Y12" s="14"/>
      <c r="Z12" s="6"/>
      <c r="AA12" s="6"/>
      <c r="AB12" s="6"/>
      <c r="AC12" s="6"/>
      <c r="AD12" s="6"/>
      <c r="AE12" s="6"/>
      <c r="AF12" s="6"/>
    </row>
    <row r="13" ht="14.25" customHeight="1">
      <c r="A13" s="6"/>
      <c r="B13" s="6"/>
      <c r="C13" s="6"/>
      <c r="D13" s="6"/>
      <c r="E13" s="6"/>
      <c r="F13" s="6"/>
      <c r="G13" s="27" t="s">
        <v>30</v>
      </c>
      <c r="H13" s="28"/>
      <c r="I13" s="6"/>
      <c r="J13" s="29" t="s">
        <v>30</v>
      </c>
      <c r="K13" s="29"/>
      <c r="L13" s="6"/>
      <c r="M13" s="6"/>
      <c r="N13" s="6"/>
      <c r="O13" s="6"/>
      <c r="P13" s="6"/>
      <c r="Q13" s="6"/>
      <c r="R13" s="6"/>
      <c r="S13" s="6"/>
      <c r="T13" s="6"/>
      <c r="U13" s="6"/>
      <c r="V13" s="18"/>
      <c r="W13" s="14"/>
      <c r="X13" s="14"/>
      <c r="Y13" s="14"/>
      <c r="Z13" s="6"/>
      <c r="AA13" s="6"/>
      <c r="AB13" s="6"/>
      <c r="AC13" s="6"/>
      <c r="AD13" s="6"/>
      <c r="AE13" s="6"/>
      <c r="AF13" s="6"/>
    </row>
    <row r="14" ht="14.25" customHeight="1">
      <c r="A14" s="6"/>
      <c r="B14" s="6"/>
      <c r="C14" s="6"/>
      <c r="D14" s="6"/>
      <c r="E14" s="6"/>
      <c r="F14" s="6"/>
      <c r="G14" s="12" t="s">
        <v>8</v>
      </c>
      <c r="H14" s="12" t="s">
        <v>9</v>
      </c>
      <c r="I14" s="6"/>
      <c r="J14" s="12" t="s">
        <v>8</v>
      </c>
      <c r="K14" s="12" t="s">
        <v>10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18"/>
      <c r="W14" s="14"/>
      <c r="X14" s="14"/>
      <c r="Y14" s="14"/>
      <c r="Z14" s="6"/>
      <c r="AA14" s="6"/>
      <c r="AB14" s="6"/>
      <c r="AC14" s="6"/>
      <c r="AD14" s="6"/>
      <c r="AE14" s="6"/>
      <c r="AF14" s="6"/>
    </row>
    <row r="15" ht="14.25" customHeight="1">
      <c r="A15" s="6"/>
      <c r="B15" s="6"/>
      <c r="C15" s="6"/>
      <c r="D15" s="6"/>
      <c r="E15" s="6"/>
      <c r="F15" s="6"/>
      <c r="G15" s="13" t="s">
        <v>55</v>
      </c>
      <c r="H15" s="31">
        <f t="shared" ref="H15:H18" si="1">IFERROR((B22-B7)/B7,"")</f>
        <v>-0.3035714286</v>
      </c>
      <c r="I15" s="6"/>
      <c r="J15" s="13" t="s">
        <v>55</v>
      </c>
      <c r="K15" s="33">
        <f t="shared" ref="K15:K18" si="2">IFERROR((E22-E7)/E7,"")</f>
        <v>-0.7733333333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18"/>
      <c r="W15" s="14"/>
      <c r="X15" s="14"/>
      <c r="Y15" s="14"/>
      <c r="Z15" s="6"/>
      <c r="AA15" s="6"/>
      <c r="AB15" s="6"/>
      <c r="AC15" s="6"/>
      <c r="AD15" s="6"/>
      <c r="AE15" s="6"/>
      <c r="AF15" s="6"/>
    </row>
    <row r="16" ht="14.25" customHeight="1">
      <c r="A16" s="6"/>
      <c r="B16" s="6"/>
      <c r="C16" s="6"/>
      <c r="D16" s="6"/>
      <c r="E16" s="6"/>
      <c r="F16" s="6"/>
      <c r="G16" s="15" t="s">
        <v>53</v>
      </c>
      <c r="H16" s="33">
        <f t="shared" si="1"/>
        <v>-0.1967213115</v>
      </c>
      <c r="I16" s="6"/>
      <c r="J16" s="15" t="s">
        <v>53</v>
      </c>
      <c r="K16" s="33">
        <f t="shared" si="2"/>
        <v>-0.1666666667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34" t="s">
        <v>29</v>
      </c>
      <c r="W16" s="35">
        <f t="shared" ref="W16:Y16" si="3">SUM(W7:W15)</f>
        <v>204615</v>
      </c>
      <c r="X16" s="35">
        <f t="shared" si="3"/>
        <v>27672</v>
      </c>
      <c r="Y16" s="35">
        <f t="shared" si="3"/>
        <v>715</v>
      </c>
      <c r="Z16" s="6"/>
      <c r="AA16" s="6"/>
      <c r="AB16" s="6"/>
      <c r="AC16" s="6"/>
      <c r="AD16" s="6"/>
      <c r="AE16" s="6"/>
      <c r="AF16" s="6"/>
    </row>
    <row r="17" ht="14.25" customHeight="1">
      <c r="A17" s="6"/>
      <c r="B17" s="6"/>
      <c r="C17" s="6"/>
      <c r="D17" s="6"/>
      <c r="E17" s="6"/>
      <c r="F17" s="6"/>
      <c r="G17" s="15" t="s">
        <v>51</v>
      </c>
      <c r="H17" s="33">
        <f t="shared" si="1"/>
        <v>-0.1366459627</v>
      </c>
      <c r="I17" s="6"/>
      <c r="J17" s="15" t="s">
        <v>51</v>
      </c>
      <c r="K17" s="33">
        <f t="shared" si="2"/>
        <v>1.632653061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1" t="s">
        <v>4</v>
      </c>
      <c r="AC17" s="72"/>
      <c r="AD17" s="72"/>
      <c r="AE17" s="73"/>
      <c r="AF17" s="6"/>
    </row>
    <row r="18" ht="14.25" customHeight="1">
      <c r="A18" s="6"/>
      <c r="B18" s="6"/>
      <c r="C18" s="6"/>
      <c r="D18" s="6"/>
      <c r="E18" s="6"/>
      <c r="F18" s="6"/>
      <c r="G18" s="38" t="s">
        <v>31</v>
      </c>
      <c r="H18" s="39">
        <f t="shared" si="1"/>
        <v>-0.1834532374</v>
      </c>
      <c r="J18" s="38" t="s">
        <v>32</v>
      </c>
      <c r="K18" s="39">
        <f t="shared" si="2"/>
        <v>-0.1776061776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8" t="s">
        <v>33</v>
      </c>
      <c r="AC18" s="41"/>
      <c r="AD18" s="41"/>
      <c r="AE18" s="79"/>
      <c r="AF18" s="6"/>
    </row>
    <row r="19" ht="21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80" t="s">
        <v>34</v>
      </c>
      <c r="AC19" s="12" t="s">
        <v>18</v>
      </c>
      <c r="AD19" s="12" t="s">
        <v>19</v>
      </c>
      <c r="AE19" s="81" t="s">
        <v>20</v>
      </c>
      <c r="AF19" s="6"/>
    </row>
    <row r="20" ht="11.25" customHeight="1">
      <c r="A20" s="48" t="s">
        <v>36</v>
      </c>
      <c r="B20" s="2"/>
      <c r="C20" s="2"/>
      <c r="D20" s="2"/>
      <c r="E20" s="3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8" t="s">
        <v>47</v>
      </c>
      <c r="Z20" s="6"/>
      <c r="AA20" s="6"/>
      <c r="AB20" s="43" t="s">
        <v>88</v>
      </c>
      <c r="AC20" s="44">
        <f t="shared" ref="AC20:AE20" si="4">W23-W7</f>
        <v>-28845</v>
      </c>
      <c r="AD20" s="44">
        <f t="shared" si="4"/>
        <v>-6040</v>
      </c>
      <c r="AE20" s="45">
        <f t="shared" si="4"/>
        <v>-211</v>
      </c>
      <c r="AF20" s="6"/>
    </row>
    <row r="21" ht="17.25" customHeight="1">
      <c r="A21" s="11" t="s">
        <v>8</v>
      </c>
      <c r="B21" s="11" t="s">
        <v>9</v>
      </c>
      <c r="C21" s="6"/>
      <c r="D21" s="11" t="s">
        <v>8</v>
      </c>
      <c r="E21" s="11" t="s">
        <v>10</v>
      </c>
      <c r="F21" s="6"/>
      <c r="G21" s="6"/>
      <c r="H21" s="6"/>
      <c r="I21" s="6"/>
      <c r="J21" s="6"/>
      <c r="K21" s="6"/>
      <c r="L21" s="6"/>
      <c r="M21" s="9" t="s">
        <v>5</v>
      </c>
      <c r="N21" s="9"/>
      <c r="O21" s="9"/>
      <c r="P21" s="6"/>
      <c r="Q21" s="10" t="s">
        <v>6</v>
      </c>
      <c r="R21" s="10"/>
      <c r="S21" s="10"/>
      <c r="T21" s="10"/>
      <c r="U21" s="6"/>
      <c r="V21" s="9" t="s">
        <v>7</v>
      </c>
      <c r="W21" s="9"/>
      <c r="X21" s="9"/>
      <c r="Y21" s="9"/>
      <c r="Z21" s="6"/>
      <c r="AA21" s="6"/>
      <c r="AB21" s="43" t="s">
        <v>88</v>
      </c>
      <c r="AC21" s="144">
        <f t="shared" ref="AC21:AE21" si="5">W24-W8</f>
        <v>-40757</v>
      </c>
      <c r="AD21" s="144">
        <f t="shared" si="5"/>
        <v>-5986</v>
      </c>
      <c r="AE21" s="145">
        <f t="shared" si="5"/>
        <v>-258</v>
      </c>
      <c r="AF21" s="6"/>
    </row>
    <row r="22" ht="14.25" customHeight="1">
      <c r="A22" s="13" t="s">
        <v>55</v>
      </c>
      <c r="B22" s="14">
        <v>39.0</v>
      </c>
      <c r="C22" s="6"/>
      <c r="D22" s="13" t="s">
        <v>55</v>
      </c>
      <c r="E22" s="14">
        <v>34.0</v>
      </c>
      <c r="F22" s="6"/>
      <c r="G22" s="6"/>
      <c r="I22" s="6"/>
      <c r="J22" s="6"/>
      <c r="K22" s="6"/>
      <c r="L22" s="6"/>
      <c r="M22" s="11" t="s">
        <v>11</v>
      </c>
      <c r="N22" s="11" t="s">
        <v>12</v>
      </c>
      <c r="O22" s="11" t="s">
        <v>13</v>
      </c>
      <c r="P22" s="6"/>
      <c r="Q22" s="12" t="s">
        <v>14</v>
      </c>
      <c r="R22" s="12" t="s">
        <v>15</v>
      </c>
      <c r="S22" s="12" t="s">
        <v>11</v>
      </c>
      <c r="T22" s="12" t="s">
        <v>16</v>
      </c>
      <c r="U22" s="6"/>
      <c r="V22" s="11" t="s">
        <v>17</v>
      </c>
      <c r="W22" s="11" t="s">
        <v>18</v>
      </c>
      <c r="X22" s="11" t="s">
        <v>19</v>
      </c>
      <c r="Y22" s="11" t="s">
        <v>20</v>
      </c>
      <c r="Z22" s="6"/>
      <c r="AA22" s="6"/>
      <c r="AB22" s="6"/>
      <c r="AC22" s="6"/>
      <c r="AD22" s="6"/>
      <c r="AE22" s="6"/>
      <c r="AF22" s="6"/>
    </row>
    <row r="23" ht="14.25" customHeight="1">
      <c r="A23" s="15" t="s">
        <v>53</v>
      </c>
      <c r="B23" s="14">
        <v>49.0</v>
      </c>
      <c r="C23" s="6"/>
      <c r="D23" s="15" t="s">
        <v>53</v>
      </c>
      <c r="E23" s="22">
        <v>50.0</v>
      </c>
      <c r="F23" s="6"/>
      <c r="G23" s="6"/>
      <c r="H23" s="6"/>
      <c r="I23" s="6"/>
      <c r="J23" s="6"/>
      <c r="K23" s="6"/>
      <c r="L23" s="6"/>
      <c r="M23" s="15" t="s">
        <v>88</v>
      </c>
      <c r="N23" s="16">
        <f>COUNTIF($S$23:$S$30,M23)</f>
        <v>2</v>
      </c>
      <c r="O23" s="17">
        <f>AVERAGE(T23:T30)</f>
        <v>0.54935</v>
      </c>
      <c r="P23" s="6"/>
      <c r="Q23" s="18">
        <v>10412.0</v>
      </c>
      <c r="R23" s="19">
        <v>46273.0</v>
      </c>
      <c r="S23" s="20" t="s">
        <v>88</v>
      </c>
      <c r="T23" s="21">
        <v>0.5266</v>
      </c>
      <c r="U23" s="6"/>
      <c r="V23" s="18">
        <v>10412.0</v>
      </c>
      <c r="W23" s="22">
        <v>72243.0</v>
      </c>
      <c r="X23" s="22">
        <v>8769.0</v>
      </c>
      <c r="Y23" s="22">
        <v>173.0</v>
      </c>
      <c r="Z23" s="6"/>
      <c r="AA23" s="6"/>
      <c r="AB23" s="6"/>
      <c r="AC23" s="6"/>
      <c r="AD23" s="6"/>
      <c r="AE23" s="6"/>
      <c r="AF23" s="6"/>
    </row>
    <row r="24" ht="14.25" customHeight="1">
      <c r="A24" s="15" t="s">
        <v>51</v>
      </c>
      <c r="B24" s="14">
        <v>139.0</v>
      </c>
      <c r="C24" s="6"/>
      <c r="D24" s="15" t="s">
        <v>51</v>
      </c>
      <c r="E24" s="22">
        <v>129.0</v>
      </c>
      <c r="F24" s="6"/>
      <c r="G24" s="6"/>
      <c r="H24" s="6"/>
      <c r="J24" s="6"/>
      <c r="K24" s="6"/>
      <c r="L24" s="6"/>
      <c r="M24" s="15"/>
      <c r="N24" s="16"/>
      <c r="O24" s="17"/>
      <c r="P24" s="6"/>
      <c r="Q24" s="18">
        <v>10413.0</v>
      </c>
      <c r="R24" s="19">
        <v>46273.0</v>
      </c>
      <c r="S24" s="20" t="s">
        <v>88</v>
      </c>
      <c r="T24" s="21">
        <v>0.5721</v>
      </c>
      <c r="U24" s="6"/>
      <c r="V24" s="18">
        <v>10413.0</v>
      </c>
      <c r="W24" s="22">
        <v>62770.0</v>
      </c>
      <c r="X24" s="22">
        <v>6877.0</v>
      </c>
      <c r="Y24" s="22">
        <v>73.0</v>
      </c>
      <c r="Z24" s="6"/>
      <c r="AA24" s="6"/>
      <c r="AB24" s="6"/>
      <c r="AC24" s="6"/>
      <c r="AD24" s="6"/>
      <c r="AE24" s="6"/>
      <c r="AF24" s="6"/>
    </row>
    <row r="25" ht="14.25" customHeight="1">
      <c r="B25" s="23">
        <f>SUMPRODUCT(B22:B24)</f>
        <v>227</v>
      </c>
      <c r="C25" s="6"/>
      <c r="E25" s="23">
        <f>SUMPRODUCT(E22:E24)</f>
        <v>213</v>
      </c>
      <c r="F25" s="6"/>
      <c r="G25" s="6"/>
      <c r="H25" s="6"/>
      <c r="I25" s="6"/>
      <c r="J25" s="6"/>
      <c r="K25" s="6"/>
      <c r="L25" s="6"/>
      <c r="M25" s="15"/>
      <c r="N25" s="16"/>
      <c r="O25" s="17"/>
      <c r="P25" s="6"/>
      <c r="Q25" s="18"/>
      <c r="R25" s="19"/>
      <c r="S25" s="20"/>
      <c r="T25" s="21"/>
      <c r="U25" s="6"/>
      <c r="V25" s="18"/>
      <c r="W25" s="14"/>
      <c r="X25" s="14"/>
      <c r="Y25" s="14"/>
      <c r="Z25" s="6"/>
      <c r="AA25" s="6"/>
      <c r="AB25" s="6"/>
      <c r="AC25" s="6"/>
      <c r="AD25" s="6"/>
      <c r="AE25" s="6"/>
      <c r="AF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24" t="s">
        <v>29</v>
      </c>
      <c r="N26" s="25" t="str">
        <f>SUM(N23:N26)</f>
        <v>#REF!</v>
      </c>
      <c r="O26" s="26">
        <f>AVERAGE(O23:O25)</f>
        <v>0.54935</v>
      </c>
      <c r="P26" s="6"/>
      <c r="Q26" s="146"/>
      <c r="R26" s="147"/>
      <c r="S26" s="148"/>
      <c r="T26" s="149"/>
      <c r="U26" s="6"/>
      <c r="V26" s="18"/>
      <c r="W26" s="14"/>
      <c r="X26" s="14"/>
      <c r="Y26" s="14"/>
      <c r="Z26" s="6"/>
      <c r="AA26" s="6"/>
      <c r="AB26" s="6"/>
      <c r="AC26" s="6"/>
      <c r="AD26" s="6"/>
      <c r="AE26" s="6"/>
      <c r="AF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46"/>
      <c r="R27" s="147"/>
      <c r="S27" s="148"/>
      <c r="T27" s="149"/>
      <c r="U27" s="6"/>
      <c r="V27" s="18"/>
      <c r="W27" s="14"/>
      <c r="X27" s="14"/>
      <c r="Y27" s="14"/>
      <c r="Z27" s="6"/>
      <c r="AA27" s="6"/>
      <c r="AB27" s="6"/>
      <c r="AC27" s="6"/>
      <c r="AD27" s="6"/>
      <c r="AE27" s="6"/>
      <c r="AF27" s="6"/>
    </row>
    <row r="28" ht="14.25" customHeight="1">
      <c r="A28" s="6"/>
      <c r="B28" s="6"/>
      <c r="C28" s="6"/>
      <c r="D28" s="6"/>
      <c r="E28" s="6"/>
      <c r="F28" s="6"/>
      <c r="G28" s="27" t="s">
        <v>30</v>
      </c>
      <c r="H28" s="28"/>
      <c r="I28" s="6"/>
      <c r="J28" s="29" t="s">
        <v>30</v>
      </c>
      <c r="K28" s="29"/>
      <c r="L28" s="6"/>
      <c r="M28" s="6"/>
      <c r="N28" s="6"/>
      <c r="O28" s="6"/>
      <c r="P28" s="6"/>
      <c r="Q28" s="18"/>
      <c r="R28" s="19"/>
      <c r="S28" s="20"/>
      <c r="T28" s="21"/>
      <c r="U28" s="6"/>
      <c r="V28" s="18"/>
      <c r="W28" s="14"/>
      <c r="X28" s="14"/>
      <c r="Y28" s="14"/>
      <c r="Z28" s="6"/>
      <c r="AA28" s="6"/>
      <c r="AB28" s="6"/>
      <c r="AC28" s="6"/>
      <c r="AD28" s="6"/>
      <c r="AE28" s="6"/>
      <c r="AF28" s="6"/>
    </row>
    <row r="29" ht="14.25" customHeight="1">
      <c r="A29" s="6"/>
      <c r="B29" s="6"/>
      <c r="C29" s="6"/>
      <c r="D29" s="6"/>
      <c r="E29" s="6"/>
      <c r="F29" s="6"/>
      <c r="G29" s="12" t="s">
        <v>8</v>
      </c>
      <c r="H29" s="12" t="s">
        <v>9</v>
      </c>
      <c r="I29" s="6"/>
      <c r="J29" s="12" t="s">
        <v>8</v>
      </c>
      <c r="K29" s="12" t="s">
        <v>10</v>
      </c>
      <c r="L29" s="6"/>
      <c r="M29" s="6"/>
      <c r="N29" s="6"/>
      <c r="O29" s="6"/>
      <c r="P29" s="6"/>
      <c r="Q29" s="103"/>
      <c r="R29" s="104"/>
      <c r="S29" s="65"/>
      <c r="T29" s="105"/>
      <c r="U29" s="6"/>
      <c r="V29" s="18"/>
      <c r="W29" s="14"/>
      <c r="X29" s="14"/>
      <c r="Y29" s="14"/>
      <c r="Z29" s="6"/>
      <c r="AA29" s="6"/>
      <c r="AB29" s="6"/>
      <c r="AC29" s="6"/>
      <c r="AD29" s="6"/>
      <c r="AE29" s="6"/>
      <c r="AF29" s="6"/>
    </row>
    <row r="30" ht="14.25" customHeight="1">
      <c r="A30" s="6"/>
      <c r="B30" s="6"/>
      <c r="C30" s="6"/>
      <c r="D30" s="6"/>
      <c r="E30" s="6"/>
      <c r="F30" s="6"/>
      <c r="G30" s="13" t="s">
        <v>55</v>
      </c>
      <c r="H30" s="31">
        <f>IFERROR((B37-B22)/B22,"")</f>
        <v>-1</v>
      </c>
      <c r="I30" s="6"/>
      <c r="J30" s="13" t="s">
        <v>55</v>
      </c>
      <c r="K30" s="31">
        <f t="shared" ref="K30:K32" si="6">IFERROR((E37-E22)/E22,"")</f>
        <v>-1</v>
      </c>
      <c r="L30" s="6"/>
      <c r="M30" s="6"/>
      <c r="N30" s="6"/>
      <c r="O30" s="6"/>
      <c r="P30" s="6"/>
      <c r="Q30" s="18"/>
      <c r="R30" s="19"/>
      <c r="S30" s="20"/>
      <c r="T30" s="21"/>
      <c r="U30" s="6"/>
      <c r="V30" s="18"/>
      <c r="W30" s="14"/>
      <c r="X30" s="14"/>
      <c r="Y30" s="14"/>
      <c r="Z30" s="6"/>
      <c r="AA30" s="6"/>
      <c r="AB30" s="6"/>
      <c r="AC30" s="6"/>
      <c r="AD30" s="6"/>
      <c r="AE30" s="6"/>
      <c r="AF30" s="6"/>
    </row>
    <row r="31" ht="14.25" customHeight="1">
      <c r="A31" s="6"/>
      <c r="B31" s="6"/>
      <c r="D31" s="6"/>
      <c r="E31" s="6"/>
      <c r="F31" s="6"/>
      <c r="G31" s="15" t="s">
        <v>53</v>
      </c>
      <c r="H31" s="33">
        <f>IFERROR((B38-B22)/B22,"")</f>
        <v>-1</v>
      </c>
      <c r="I31" s="6"/>
      <c r="J31" s="15" t="s">
        <v>53</v>
      </c>
      <c r="K31" s="33">
        <f t="shared" si="6"/>
        <v>-1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18"/>
      <c r="W31" s="14"/>
      <c r="X31" s="14"/>
      <c r="Y31" s="14"/>
      <c r="Z31" s="6"/>
      <c r="AA31" s="6"/>
      <c r="AB31" s="6"/>
      <c r="AC31" s="6"/>
      <c r="AD31" s="6"/>
      <c r="AE31" s="6"/>
      <c r="AF31" s="6"/>
    </row>
    <row r="32" ht="14.25" customHeight="1">
      <c r="A32" s="6"/>
      <c r="B32" s="6"/>
      <c r="C32" s="6"/>
      <c r="D32" s="6"/>
      <c r="E32" s="6"/>
      <c r="F32" s="6"/>
      <c r="G32" s="15" t="s">
        <v>51</v>
      </c>
      <c r="H32" s="33">
        <f>IFERROR((B39-B24)/B24,"")</f>
        <v>-1</v>
      </c>
      <c r="I32" s="6"/>
      <c r="J32" s="15" t="s">
        <v>51</v>
      </c>
      <c r="K32" s="33">
        <f t="shared" si="6"/>
        <v>-1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34" t="s">
        <v>29</v>
      </c>
      <c r="W32" s="35">
        <f t="shared" ref="W32:Y32" si="7">SUM(W23:W31)</f>
        <v>135013</v>
      </c>
      <c r="X32" s="35">
        <f t="shared" si="7"/>
        <v>15646</v>
      </c>
      <c r="Y32" s="35">
        <f t="shared" si="7"/>
        <v>246</v>
      </c>
      <c r="Z32" s="6"/>
      <c r="AA32" s="6"/>
      <c r="AB32" s="6"/>
      <c r="AC32" s="6"/>
      <c r="AD32" s="6"/>
      <c r="AE32" s="6"/>
      <c r="AF32" s="6"/>
    </row>
    <row r="33" ht="14.25" customHeight="1">
      <c r="A33" s="6"/>
      <c r="B33" s="6"/>
      <c r="C33" s="6"/>
      <c r="D33" s="6"/>
      <c r="E33" s="6"/>
      <c r="F33" s="6"/>
      <c r="G33" s="38" t="s">
        <v>31</v>
      </c>
      <c r="H33" s="39" t="str">
        <f>IFERROR((#REF!-#REF!)/#REF!,"")</f>
        <v/>
      </c>
      <c r="J33" s="38" t="s">
        <v>32</v>
      </c>
      <c r="K33" s="39" t="str">
        <f>IFERROR((#REF!-#REF!)/#REF!,"")</f>
        <v/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ht="14.25" customHeight="1">
      <c r="A35" s="48" t="s">
        <v>56</v>
      </c>
      <c r="B35" s="2"/>
      <c r="C35" s="2"/>
      <c r="D35" s="2"/>
      <c r="E35" s="3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ht="18.75" customHeight="1">
      <c r="A36" s="11" t="s">
        <v>8</v>
      </c>
      <c r="B36" s="11" t="s">
        <v>9</v>
      </c>
      <c r="C36" s="6"/>
      <c r="D36" s="11" t="s">
        <v>8</v>
      </c>
      <c r="E36" s="11" t="s">
        <v>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ht="14.25" customHeight="1">
      <c r="A37" s="13" t="s">
        <v>55</v>
      </c>
      <c r="B37" s="14"/>
      <c r="C37" s="6"/>
      <c r="D37" s="13" t="s">
        <v>55</v>
      </c>
      <c r="E37" s="1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ht="14.25" customHeight="1">
      <c r="A38" s="15" t="s">
        <v>53</v>
      </c>
      <c r="B38" s="14"/>
      <c r="C38" s="6"/>
      <c r="D38" s="15" t="s">
        <v>53</v>
      </c>
      <c r="E38" s="1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8" t="s">
        <v>56</v>
      </c>
      <c r="Z38" s="6"/>
      <c r="AA38" s="6"/>
      <c r="AB38" s="71" t="s">
        <v>47</v>
      </c>
      <c r="AC38" s="72"/>
      <c r="AD38" s="72"/>
      <c r="AE38" s="73"/>
      <c r="AF38" s="6"/>
    </row>
    <row r="39" ht="14.25" customHeight="1">
      <c r="A39" s="15" t="s">
        <v>51</v>
      </c>
      <c r="B39" s="14"/>
      <c r="C39" s="6"/>
      <c r="D39" s="15" t="s">
        <v>51</v>
      </c>
      <c r="E39" s="14"/>
      <c r="F39" s="6"/>
      <c r="G39" s="6"/>
      <c r="H39" s="6"/>
      <c r="I39" s="6"/>
      <c r="J39" s="6"/>
      <c r="K39" s="6"/>
      <c r="L39" s="6"/>
      <c r="M39" s="9" t="s">
        <v>5</v>
      </c>
      <c r="N39" s="9"/>
      <c r="O39" s="9"/>
      <c r="P39" s="6"/>
      <c r="Q39" s="10" t="s">
        <v>6</v>
      </c>
      <c r="R39" s="10"/>
      <c r="S39" s="10"/>
      <c r="T39" s="10"/>
      <c r="U39" s="6"/>
      <c r="V39" s="9" t="s">
        <v>7</v>
      </c>
      <c r="W39" s="9"/>
      <c r="X39" s="9"/>
      <c r="Y39" s="9"/>
      <c r="Z39" s="6"/>
      <c r="AA39" s="6"/>
      <c r="AB39" s="78" t="s">
        <v>33</v>
      </c>
      <c r="AC39" s="41"/>
      <c r="AD39" s="41"/>
      <c r="AE39" s="79"/>
      <c r="AF39" s="6"/>
    </row>
    <row r="40" ht="13.5" customHeight="1">
      <c r="B40" s="23">
        <f>SUMPRODUCT(B37:B39)</f>
        <v>0</v>
      </c>
      <c r="C40" s="6"/>
      <c r="E40" s="23">
        <f>SUMPRODUCT(E37:E39)</f>
        <v>0</v>
      </c>
      <c r="F40" s="6"/>
      <c r="G40" s="6"/>
      <c r="H40" s="6"/>
      <c r="I40" s="6"/>
      <c r="J40" s="6"/>
      <c r="K40" s="6"/>
      <c r="L40" s="6"/>
      <c r="M40" s="11" t="s">
        <v>11</v>
      </c>
      <c r="N40" s="11" t="s">
        <v>12</v>
      </c>
      <c r="O40" s="11" t="s">
        <v>13</v>
      </c>
      <c r="P40" s="6"/>
      <c r="Q40" s="12" t="s">
        <v>14</v>
      </c>
      <c r="R40" s="12" t="s">
        <v>15</v>
      </c>
      <c r="S40" s="12" t="s">
        <v>11</v>
      </c>
      <c r="T40" s="12" t="s">
        <v>16</v>
      </c>
      <c r="U40" s="6"/>
      <c r="V40" s="11" t="s">
        <v>17</v>
      </c>
      <c r="W40" s="11" t="s">
        <v>18</v>
      </c>
      <c r="X40" s="11" t="s">
        <v>19</v>
      </c>
      <c r="Y40" s="11" t="s">
        <v>20</v>
      </c>
      <c r="Z40" s="6"/>
      <c r="AA40" s="6"/>
      <c r="AB40" s="80" t="s">
        <v>34</v>
      </c>
      <c r="AC40" s="12" t="s">
        <v>18</v>
      </c>
      <c r="AD40" s="12" t="s">
        <v>19</v>
      </c>
      <c r="AE40" s="81" t="s">
        <v>20</v>
      </c>
      <c r="AF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15" t="s">
        <v>88</v>
      </c>
      <c r="N41" s="16">
        <f>COUNTIF($S$41:$S$48,M41)</f>
        <v>0</v>
      </c>
      <c r="O41" s="17" t="str">
        <f>AVERAGE(T41:T48)</f>
        <v>#DIV/0!</v>
      </c>
      <c r="P41" s="6"/>
      <c r="Q41" s="18"/>
      <c r="R41" s="19"/>
      <c r="S41" s="20"/>
      <c r="T41" s="21"/>
      <c r="U41" s="6"/>
      <c r="V41" s="18"/>
      <c r="W41" s="14"/>
      <c r="X41" s="14"/>
      <c r="Y41" s="14"/>
      <c r="Z41" s="6"/>
      <c r="AA41" s="6"/>
      <c r="AB41" s="43" t="s">
        <v>88</v>
      </c>
      <c r="AC41" s="44">
        <f t="shared" ref="AC41:AE41" si="8">W41-W23</f>
        <v>-72243</v>
      </c>
      <c r="AD41" s="44">
        <f t="shared" si="8"/>
        <v>-8769</v>
      </c>
      <c r="AE41" s="45">
        <f t="shared" si="8"/>
        <v>-173</v>
      </c>
      <c r="AF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15"/>
      <c r="N42" s="16"/>
      <c r="O42" s="17"/>
      <c r="P42" s="6"/>
      <c r="Q42" s="18"/>
      <c r="R42" s="19"/>
      <c r="S42" s="20"/>
      <c r="T42" s="21"/>
      <c r="U42" s="6"/>
      <c r="V42" s="18"/>
      <c r="W42" s="14"/>
      <c r="X42" s="14"/>
      <c r="Y42" s="14"/>
      <c r="Z42" s="6"/>
      <c r="AA42" s="6"/>
      <c r="AB42" s="43" t="s">
        <v>88</v>
      </c>
      <c r="AC42" s="144">
        <f t="shared" ref="AC42:AE42" si="9">W42-W24</f>
        <v>-62770</v>
      </c>
      <c r="AD42" s="144">
        <f t="shared" si="9"/>
        <v>-6877</v>
      </c>
      <c r="AE42" s="145">
        <f t="shared" si="9"/>
        <v>-73</v>
      </c>
      <c r="AF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15"/>
      <c r="N43" s="16"/>
      <c r="O43" s="17"/>
      <c r="P43" s="6"/>
      <c r="Q43" s="18"/>
      <c r="R43" s="19"/>
      <c r="S43" s="20"/>
      <c r="T43" s="21"/>
      <c r="U43" s="6"/>
      <c r="V43" s="18"/>
      <c r="W43" s="14"/>
      <c r="X43" s="14"/>
      <c r="Y43" s="14"/>
      <c r="Z43" s="6"/>
      <c r="AA43" s="6"/>
      <c r="AB43" s="6"/>
      <c r="AC43" s="6"/>
      <c r="AD43" s="6"/>
      <c r="AE43" s="6"/>
      <c r="AF43" s="6"/>
    </row>
    <row r="44" ht="14.25" customHeight="1">
      <c r="A44" s="6"/>
      <c r="B44" s="6"/>
      <c r="C44" s="6"/>
      <c r="D44" s="6"/>
      <c r="E44" s="6"/>
      <c r="F44" s="6"/>
      <c r="G44" s="27" t="s">
        <v>30</v>
      </c>
      <c r="H44" s="28"/>
      <c r="I44" s="6"/>
      <c r="J44" s="29" t="s">
        <v>30</v>
      </c>
      <c r="K44" s="29"/>
      <c r="L44" s="6"/>
      <c r="M44" s="24" t="s">
        <v>29</v>
      </c>
      <c r="N44" s="25" t="str">
        <f>SUM(N41:N44)</f>
        <v>#REF!</v>
      </c>
      <c r="O44" s="26" t="str">
        <f>AVERAGE(O41:O43)</f>
        <v>#DIV/0!</v>
      </c>
      <c r="P44" s="6"/>
      <c r="Q44" s="146"/>
      <c r="R44" s="147"/>
      <c r="S44" s="148"/>
      <c r="T44" s="149"/>
      <c r="U44" s="6"/>
      <c r="V44" s="18"/>
      <c r="W44" s="14"/>
      <c r="X44" s="14"/>
      <c r="Y44" s="14"/>
      <c r="Z44" s="6"/>
      <c r="AA44" s="6"/>
      <c r="AB44" s="6"/>
      <c r="AC44" s="6"/>
      <c r="AD44" s="6"/>
      <c r="AE44" s="6"/>
      <c r="AF44" s="6"/>
    </row>
    <row r="45" ht="14.25" customHeight="1">
      <c r="A45" s="6"/>
      <c r="B45" s="6"/>
      <c r="C45" s="6"/>
      <c r="D45" s="6"/>
      <c r="E45" s="6"/>
      <c r="F45" s="6"/>
      <c r="G45" s="12" t="s">
        <v>8</v>
      </c>
      <c r="H45" s="12" t="s">
        <v>9</v>
      </c>
      <c r="I45" s="6"/>
      <c r="J45" s="12" t="s">
        <v>8</v>
      </c>
      <c r="K45" s="12" t="s">
        <v>10</v>
      </c>
      <c r="L45" s="6"/>
      <c r="M45" s="6"/>
      <c r="N45" s="6"/>
      <c r="O45" s="6"/>
      <c r="P45" s="6"/>
      <c r="Q45" s="146"/>
      <c r="R45" s="147"/>
      <c r="S45" s="148"/>
      <c r="T45" s="149"/>
      <c r="U45" s="6"/>
      <c r="V45" s="18"/>
      <c r="W45" s="14"/>
      <c r="X45" s="14"/>
      <c r="Y45" s="14"/>
      <c r="Z45" s="6"/>
      <c r="AA45" s="6"/>
      <c r="AB45" s="6"/>
      <c r="AC45" s="6"/>
      <c r="AD45" s="6"/>
      <c r="AE45" s="6"/>
      <c r="AF45" s="6"/>
    </row>
    <row r="46" ht="14.25" customHeight="1">
      <c r="A46" s="6"/>
      <c r="B46" s="6"/>
      <c r="C46" s="6"/>
      <c r="D46" s="6"/>
      <c r="E46" s="6"/>
      <c r="F46" s="6"/>
      <c r="G46" s="13" t="s">
        <v>55</v>
      </c>
      <c r="H46" s="31" t="str">
        <f>IFERROR((B57-B37)/B37,"")</f>
        <v/>
      </c>
      <c r="I46" s="6"/>
      <c r="J46" s="13" t="s">
        <v>55</v>
      </c>
      <c r="K46" s="31" t="str">
        <f>IFERROR((E57-E37)/E37,"")</f>
        <v/>
      </c>
      <c r="L46" s="6"/>
      <c r="M46" s="6"/>
      <c r="N46" s="6"/>
      <c r="O46" s="6"/>
      <c r="P46" s="6"/>
      <c r="Q46" s="18"/>
      <c r="R46" s="19"/>
      <c r="S46" s="20"/>
      <c r="T46" s="21"/>
      <c r="U46" s="6"/>
      <c r="V46" s="18"/>
      <c r="W46" s="14"/>
      <c r="X46" s="14"/>
      <c r="Y46" s="14"/>
      <c r="Z46" s="6"/>
      <c r="AA46" s="6"/>
      <c r="AB46" s="6"/>
      <c r="AC46" s="6"/>
      <c r="AD46" s="6"/>
      <c r="AE46" s="6"/>
      <c r="AF46" s="6"/>
    </row>
    <row r="47" ht="14.25" customHeight="1">
      <c r="A47" s="6"/>
      <c r="B47" s="6"/>
      <c r="C47" s="6"/>
      <c r="D47" s="6"/>
      <c r="E47" s="6"/>
      <c r="F47" s="6"/>
      <c r="G47" s="15" t="s">
        <v>53</v>
      </c>
      <c r="H47" s="33" t="str">
        <f>IFERROR((#REF!-B38)/B38,"")</f>
        <v/>
      </c>
      <c r="I47" s="6"/>
      <c r="J47" s="15" t="s">
        <v>53</v>
      </c>
      <c r="K47" s="33" t="str">
        <f>IFERROR((#REF!-E38)/E38,"")</f>
        <v/>
      </c>
      <c r="L47" s="6"/>
      <c r="M47" s="6"/>
      <c r="N47" s="6"/>
      <c r="O47" s="6"/>
      <c r="P47" s="6"/>
      <c r="Q47" s="103"/>
      <c r="R47" s="104"/>
      <c r="S47" s="65"/>
      <c r="T47" s="105"/>
      <c r="U47" s="6"/>
      <c r="V47" s="18"/>
      <c r="W47" s="14"/>
      <c r="X47" s="14"/>
      <c r="Y47" s="14"/>
      <c r="Z47" s="6"/>
      <c r="AA47" s="6"/>
      <c r="AB47" s="6"/>
      <c r="AC47" s="6"/>
      <c r="AD47" s="6"/>
      <c r="AE47" s="6"/>
      <c r="AF47" s="6"/>
    </row>
    <row r="48" ht="14.25" customHeight="1">
      <c r="A48" s="6"/>
      <c r="B48" s="6"/>
      <c r="C48" s="6"/>
      <c r="D48" s="6"/>
      <c r="E48" s="6"/>
      <c r="F48" s="6"/>
      <c r="G48" s="15" t="s">
        <v>51</v>
      </c>
      <c r="H48" s="33" t="str">
        <f>IFERROR((B58-B39)/B39,"")</f>
        <v/>
      </c>
      <c r="I48" s="6"/>
      <c r="J48" s="15" t="s">
        <v>51</v>
      </c>
      <c r="K48" s="33" t="str">
        <f>IFERROR((E58-E39)/E39,"")</f>
        <v/>
      </c>
      <c r="L48" s="6"/>
      <c r="M48" s="6"/>
      <c r="N48" s="6"/>
      <c r="O48" s="6"/>
      <c r="P48" s="6"/>
      <c r="Q48" s="18"/>
      <c r="R48" s="19"/>
      <c r="S48" s="20"/>
      <c r="T48" s="21"/>
      <c r="U48" s="6"/>
      <c r="V48" s="18"/>
      <c r="W48" s="14"/>
      <c r="X48" s="14"/>
      <c r="Y48" s="14"/>
      <c r="Z48" s="6"/>
      <c r="AA48" s="6"/>
      <c r="AB48" s="6"/>
      <c r="AC48" s="6"/>
      <c r="AD48" s="6"/>
      <c r="AE48" s="6"/>
      <c r="AF48" s="6"/>
    </row>
    <row r="49" ht="14.25" customHeight="1">
      <c r="A49" s="6"/>
      <c r="B49" s="6"/>
      <c r="C49" s="6"/>
      <c r="D49" s="6"/>
      <c r="E49" s="6"/>
      <c r="F49" s="6"/>
      <c r="G49" s="38" t="s">
        <v>31</v>
      </c>
      <c r="H49" s="39" t="str">
        <f>IFERROR((#REF!-B40)/B40,"")</f>
        <v/>
      </c>
      <c r="J49" s="38" t="s">
        <v>32</v>
      </c>
      <c r="K49" s="39" t="str">
        <f>IFERROR((#REF!-E40)/E40,"")</f>
        <v/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18"/>
      <c r="W49" s="14"/>
      <c r="X49" s="14"/>
      <c r="Y49" s="14"/>
      <c r="Z49" s="6"/>
      <c r="AA49" s="6"/>
      <c r="AB49" s="6"/>
      <c r="AC49" s="6"/>
      <c r="AD49" s="6"/>
      <c r="AE49" s="6"/>
      <c r="AF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34" t="s">
        <v>29</v>
      </c>
      <c r="W50" s="35">
        <f t="shared" ref="W50:Y50" si="10">SUM(W41:W49)</f>
        <v>0</v>
      </c>
      <c r="X50" s="35">
        <f t="shared" si="10"/>
        <v>0</v>
      </c>
      <c r="Y50" s="35">
        <f t="shared" si="10"/>
        <v>0</v>
      </c>
      <c r="Z50" s="6"/>
      <c r="AA50" s="6"/>
      <c r="AB50" s="6"/>
      <c r="AC50" s="6"/>
      <c r="AD50" s="6"/>
      <c r="AE50" s="6"/>
      <c r="AF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4.25" customHeight="1">
      <c r="A53" s="48" t="s">
        <v>68</v>
      </c>
      <c r="B53" s="2"/>
      <c r="C53" s="2"/>
      <c r="D53" s="2"/>
      <c r="E53" s="3"/>
      <c r="F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4.25" customHeight="1">
      <c r="A54" s="11" t="s">
        <v>8</v>
      </c>
      <c r="B54" s="11" t="s">
        <v>9</v>
      </c>
      <c r="C54" s="6"/>
      <c r="D54" s="11" t="s">
        <v>8</v>
      </c>
      <c r="E54" s="11" t="s">
        <v>10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4.25" customHeight="1">
      <c r="A55" s="13" t="s">
        <v>55</v>
      </c>
      <c r="B55" s="14"/>
      <c r="C55" s="6"/>
      <c r="D55" s="13" t="s">
        <v>55</v>
      </c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8" t="s">
        <v>68</v>
      </c>
      <c r="Z55" s="6"/>
      <c r="AA55" s="6"/>
      <c r="AB55" s="6"/>
      <c r="AC55" s="6"/>
      <c r="AD55" s="6"/>
      <c r="AE55" s="6"/>
      <c r="AF55" s="6"/>
    </row>
    <row r="56" ht="14.25" customHeight="1">
      <c r="A56" s="15" t="s">
        <v>53</v>
      </c>
      <c r="B56" s="14"/>
      <c r="C56" s="6"/>
      <c r="D56" s="15" t="s">
        <v>53</v>
      </c>
      <c r="E56" s="14"/>
      <c r="F56" s="6"/>
      <c r="G56" s="6"/>
      <c r="H56" s="6"/>
      <c r="I56" s="6"/>
      <c r="J56" s="6"/>
      <c r="K56" s="6"/>
      <c r="L56" s="6"/>
      <c r="M56" s="9" t="s">
        <v>5</v>
      </c>
      <c r="N56" s="9"/>
      <c r="O56" s="9"/>
      <c r="P56" s="6"/>
      <c r="Q56" s="10" t="s">
        <v>6</v>
      </c>
      <c r="R56" s="10"/>
      <c r="S56" s="10"/>
      <c r="T56" s="10"/>
      <c r="U56" s="6"/>
      <c r="V56" s="9" t="s">
        <v>7</v>
      </c>
      <c r="W56" s="9"/>
      <c r="X56" s="9"/>
      <c r="Y56" s="9"/>
      <c r="Z56" s="6"/>
      <c r="AA56" s="6"/>
      <c r="AB56" s="6"/>
      <c r="AC56" s="6"/>
      <c r="AD56" s="6"/>
      <c r="AE56" s="6"/>
      <c r="AF56" s="6"/>
    </row>
    <row r="57" ht="13.5" customHeight="1">
      <c r="A57" s="15" t="s">
        <v>51</v>
      </c>
      <c r="B57" s="14"/>
      <c r="C57" s="6"/>
      <c r="D57" s="15" t="s">
        <v>51</v>
      </c>
      <c r="E57" s="14"/>
      <c r="F57" s="6"/>
      <c r="G57" s="6"/>
      <c r="H57" s="6"/>
      <c r="I57" s="6"/>
      <c r="J57" s="6"/>
      <c r="K57" s="6"/>
      <c r="L57" s="6"/>
      <c r="M57" s="11" t="s">
        <v>11</v>
      </c>
      <c r="N57" s="11" t="s">
        <v>12</v>
      </c>
      <c r="O57" s="11" t="s">
        <v>13</v>
      </c>
      <c r="P57" s="6"/>
      <c r="Q57" s="12" t="s">
        <v>14</v>
      </c>
      <c r="R57" s="12" t="s">
        <v>15</v>
      </c>
      <c r="S57" s="12" t="s">
        <v>11</v>
      </c>
      <c r="T57" s="12" t="s">
        <v>16</v>
      </c>
      <c r="U57" s="6"/>
      <c r="V57" s="11" t="s">
        <v>17</v>
      </c>
      <c r="W57" s="11" t="s">
        <v>18</v>
      </c>
      <c r="X57" s="11" t="s">
        <v>19</v>
      </c>
      <c r="Y57" s="11" t="s">
        <v>20</v>
      </c>
      <c r="Z57" s="6"/>
      <c r="AA57" s="6"/>
      <c r="AB57" s="71" t="s">
        <v>56</v>
      </c>
      <c r="AC57" s="72"/>
      <c r="AD57" s="72"/>
      <c r="AE57" s="73"/>
      <c r="AF57" s="6"/>
    </row>
    <row r="58" ht="14.25" customHeight="1">
      <c r="B58" s="23">
        <f>SUMPRODUCT(B55:B57)</f>
        <v>0</v>
      </c>
      <c r="C58" s="6"/>
      <c r="E58" s="23">
        <f>SUMPRODUCT(E55:E57)</f>
        <v>0</v>
      </c>
      <c r="F58" s="6"/>
      <c r="G58" s="6"/>
      <c r="H58" s="6"/>
      <c r="I58" s="6"/>
      <c r="J58" s="6"/>
      <c r="K58" s="6"/>
      <c r="L58" s="6"/>
      <c r="M58" s="15" t="s">
        <v>88</v>
      </c>
      <c r="N58" s="16">
        <f>COUNTIF($S$58:$S$65,M58)</f>
        <v>0</v>
      </c>
      <c r="O58" s="17" t="str">
        <f>AVERAGE(T58:T65)</f>
        <v>#DIV/0!</v>
      </c>
      <c r="P58" s="6"/>
      <c r="Q58" s="18"/>
      <c r="R58" s="19"/>
      <c r="S58" s="20"/>
      <c r="T58" s="21"/>
      <c r="U58" s="6"/>
      <c r="V58" s="18"/>
      <c r="W58" s="14"/>
      <c r="X58" s="14"/>
      <c r="Y58" s="14"/>
      <c r="Z58" s="6"/>
      <c r="AA58" s="6"/>
      <c r="AB58" s="78" t="s">
        <v>33</v>
      </c>
      <c r="AC58" s="41"/>
      <c r="AD58" s="41"/>
      <c r="AE58" s="79"/>
      <c r="AF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15"/>
      <c r="N59" s="16"/>
      <c r="O59" s="17"/>
      <c r="P59" s="6"/>
      <c r="Q59" s="18"/>
      <c r="R59" s="19"/>
      <c r="S59" s="20"/>
      <c r="T59" s="21"/>
      <c r="U59" s="6"/>
      <c r="V59" s="18"/>
      <c r="W59" s="14"/>
      <c r="X59" s="14"/>
      <c r="Y59" s="14"/>
      <c r="Z59" s="6"/>
      <c r="AA59" s="6"/>
      <c r="AB59" s="80" t="s">
        <v>34</v>
      </c>
      <c r="AC59" s="12" t="s">
        <v>18</v>
      </c>
      <c r="AD59" s="12" t="s">
        <v>19</v>
      </c>
      <c r="AE59" s="81" t="s">
        <v>20</v>
      </c>
      <c r="AF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15"/>
      <c r="N60" s="16"/>
      <c r="O60" s="17"/>
      <c r="P60" s="6"/>
      <c r="Q60" s="18"/>
      <c r="R60" s="19"/>
      <c r="S60" s="20"/>
      <c r="T60" s="21"/>
      <c r="U60" s="6"/>
      <c r="V60" s="18"/>
      <c r="W60" s="14"/>
      <c r="X60" s="14"/>
      <c r="Y60" s="14"/>
      <c r="Z60" s="6"/>
      <c r="AA60" s="6"/>
      <c r="AB60" s="43" t="s">
        <v>88</v>
      </c>
      <c r="AC60" s="44">
        <f t="shared" ref="AC60:AE60" si="11">W58-W41</f>
        <v>0</v>
      </c>
      <c r="AD60" s="44">
        <f t="shared" si="11"/>
        <v>0</v>
      </c>
      <c r="AE60" s="45">
        <f t="shared" si="11"/>
        <v>0</v>
      </c>
      <c r="AF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24" t="s">
        <v>29</v>
      </c>
      <c r="N61" s="25" t="str">
        <f>SUM(N58:N61)</f>
        <v>#REF!</v>
      </c>
      <c r="O61" s="26" t="str">
        <f>AVERAGE(O58:O60)</f>
        <v>#DIV/0!</v>
      </c>
      <c r="P61" s="6"/>
      <c r="Q61" s="146"/>
      <c r="R61" s="147"/>
      <c r="S61" s="148"/>
      <c r="T61" s="149"/>
      <c r="U61" s="6"/>
      <c r="V61" s="18"/>
      <c r="W61" s="14"/>
      <c r="X61" s="14"/>
      <c r="Y61" s="14"/>
      <c r="Z61" s="6"/>
      <c r="AA61" s="6"/>
      <c r="AB61" s="43" t="s">
        <v>88</v>
      </c>
      <c r="AC61" s="144">
        <f t="shared" ref="AC61:AE61" si="12">W59-W42</f>
        <v>0</v>
      </c>
      <c r="AD61" s="144">
        <f t="shared" si="12"/>
        <v>0</v>
      </c>
      <c r="AE61" s="145">
        <f t="shared" si="12"/>
        <v>0</v>
      </c>
      <c r="AF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146"/>
      <c r="R62" s="147"/>
      <c r="S62" s="148"/>
      <c r="T62" s="149"/>
      <c r="U62" s="6"/>
      <c r="V62" s="18"/>
      <c r="W62" s="14"/>
      <c r="X62" s="14"/>
      <c r="Y62" s="14"/>
      <c r="Z62" s="6"/>
      <c r="AA62" s="6"/>
      <c r="AB62" s="6"/>
      <c r="AC62" s="6"/>
      <c r="AD62" s="6"/>
      <c r="AE62" s="6"/>
      <c r="AF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18"/>
      <c r="R63" s="19"/>
      <c r="S63" s="20"/>
      <c r="T63" s="21"/>
      <c r="U63" s="6"/>
      <c r="V63" s="18"/>
      <c r="W63" s="14"/>
      <c r="X63" s="14"/>
      <c r="Y63" s="14"/>
      <c r="Z63" s="6"/>
      <c r="AA63" s="6"/>
      <c r="AB63" s="6"/>
      <c r="AC63" s="6"/>
      <c r="AD63" s="6"/>
      <c r="AE63" s="6"/>
      <c r="AF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103"/>
      <c r="R64" s="104"/>
      <c r="S64" s="65"/>
      <c r="T64" s="105"/>
      <c r="U64" s="6"/>
      <c r="V64" s="18"/>
      <c r="W64" s="14"/>
      <c r="X64" s="14"/>
      <c r="Y64" s="14"/>
      <c r="Z64" s="6"/>
      <c r="AA64" s="6"/>
      <c r="AB64" s="6"/>
      <c r="AC64" s="6"/>
      <c r="AD64" s="6"/>
      <c r="AE64" s="6"/>
      <c r="AF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18"/>
      <c r="R65" s="19"/>
      <c r="S65" s="20"/>
      <c r="T65" s="21"/>
      <c r="U65" s="6"/>
      <c r="V65" s="18"/>
      <c r="W65" s="14"/>
      <c r="X65" s="14"/>
      <c r="Y65" s="14"/>
      <c r="Z65" s="6"/>
      <c r="AA65" s="6"/>
      <c r="AB65" s="6"/>
      <c r="AC65" s="6"/>
      <c r="AD65" s="6"/>
      <c r="AE65" s="6"/>
      <c r="AF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18"/>
      <c r="W66" s="14"/>
      <c r="X66" s="14"/>
      <c r="Y66" s="14"/>
      <c r="Z66" s="6"/>
      <c r="AA66" s="6"/>
      <c r="AB66" s="6"/>
      <c r="AC66" s="6"/>
      <c r="AD66" s="6"/>
      <c r="AE66" s="6"/>
      <c r="AF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34" t="s">
        <v>29</v>
      </c>
      <c r="W67" s="35">
        <f t="shared" ref="W67:Y67" si="13">SUM(W58:W66)</f>
        <v>0</v>
      </c>
      <c r="X67" s="35">
        <f t="shared" si="13"/>
        <v>0</v>
      </c>
      <c r="Y67" s="35">
        <f t="shared" si="13"/>
        <v>0</v>
      </c>
      <c r="Z67" s="6"/>
      <c r="AA67" s="6"/>
      <c r="AB67" s="6"/>
      <c r="AC67" s="6"/>
      <c r="AD67" s="6"/>
      <c r="AE67" s="6"/>
      <c r="AF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4.25" customHeight="1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4.25" customHeight="1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4.25" customHeight="1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4.25" customHeight="1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4.25" customHeight="1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4.25" customHeight="1">
      <c r="C74" s="6"/>
      <c r="D74" s="6"/>
      <c r="E74" s="6"/>
      <c r="F74" s="6"/>
      <c r="G74" s="6"/>
      <c r="H74" s="6"/>
      <c r="I74" s="6"/>
      <c r="J74" s="6"/>
      <c r="K74" s="6"/>
      <c r="L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C1"/>
    <mergeCell ref="A3:E3"/>
    <mergeCell ref="F3:J3"/>
    <mergeCell ref="A4:D4"/>
    <mergeCell ref="Q4:Y4"/>
    <mergeCell ref="A5:E5"/>
    <mergeCell ref="G13:H13"/>
    <mergeCell ref="AB38:AE38"/>
    <mergeCell ref="AB39:AE39"/>
    <mergeCell ref="G44:H44"/>
    <mergeCell ref="A53:E53"/>
    <mergeCell ref="Q55:Y55"/>
    <mergeCell ref="AB57:AE57"/>
    <mergeCell ref="AB58:AE58"/>
    <mergeCell ref="AB17:AE17"/>
    <mergeCell ref="AB18:AE18"/>
    <mergeCell ref="A20:E20"/>
    <mergeCell ref="Q20:Y20"/>
    <mergeCell ref="G28:H28"/>
    <mergeCell ref="A35:E35"/>
    <mergeCell ref="Q38:Y38"/>
  </mergeCells>
  <dataValidations>
    <dataValidation type="list" allowBlank="1" sqref="S7:S8 AB20:AB21 S23:S30 AB41:AB42 S41:S48 AB60:AB61 S58:S65">
      <formula1>"Curitiba"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4" width="8.71"/>
    <col customWidth="1" min="5" max="5" width="10.86"/>
    <col customWidth="1" min="6" max="6" width="11.71"/>
    <col customWidth="1" min="7" max="7" width="7.14"/>
    <col customWidth="1" min="8" max="8" width="15.29"/>
    <col customWidth="1" min="9" max="9" width="3.43"/>
    <col customWidth="1" min="10" max="10" width="7.86"/>
    <col customWidth="1" min="11" max="11" width="12.71"/>
    <col customWidth="1" min="12" max="12" width="8.71"/>
    <col customWidth="1" min="13" max="13" width="2.86"/>
    <col customWidth="1" min="14" max="14" width="14.14"/>
    <col customWidth="1" min="15" max="15" width="8.71"/>
    <col customWidth="1" min="16" max="16" width="13.14"/>
    <col customWidth="1" min="17" max="17" width="3.57"/>
    <col customWidth="1" min="18" max="18" width="11.57"/>
    <col customWidth="1" min="19" max="19" width="10.0"/>
    <col customWidth="1" min="20" max="20" width="9.43"/>
    <col customWidth="1" min="21" max="21" width="14.14"/>
    <col customWidth="1" min="22" max="22" width="8.71"/>
    <col customWidth="1" min="23" max="23" width="9.43"/>
    <col customWidth="1" min="24" max="24" width="14.14"/>
    <col customWidth="1" min="25" max="25" width="11.57"/>
    <col customWidth="1" min="26" max="26" width="10.43"/>
    <col customWidth="1" min="27" max="27" width="8.71"/>
    <col customWidth="1" min="28" max="28" width="12.0"/>
    <col customWidth="1" min="29" max="29" width="10.0"/>
    <col customWidth="1" min="30" max="30" width="12.29"/>
    <col customWidth="1" min="31" max="31" width="12.86"/>
  </cols>
  <sheetData>
    <row r="1" ht="14.25" customHeight="1">
      <c r="A1" s="1" t="s">
        <v>109</v>
      </c>
      <c r="B1" s="2"/>
      <c r="C1" s="3"/>
    </row>
    <row r="2" ht="14.25" customHeight="1"/>
    <row r="3" ht="14.25" customHeight="1">
      <c r="A3" s="4" t="s">
        <v>1</v>
      </c>
      <c r="B3" s="2"/>
      <c r="C3" s="2"/>
      <c r="D3" s="3"/>
      <c r="E3" s="5"/>
      <c r="F3" s="5"/>
      <c r="G3" s="5"/>
      <c r="H3" s="5"/>
      <c r="I3" s="5"/>
      <c r="J3" s="5"/>
      <c r="K3" s="5"/>
      <c r="L3" s="5"/>
      <c r="M3" s="5"/>
      <c r="N3" s="5" t="s">
        <v>110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7" t="s">
        <v>111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 t="s">
        <v>4</v>
      </c>
      <c r="AA4" s="6"/>
    </row>
    <row r="5" ht="14.25" customHeight="1">
      <c r="A5" s="8" t="s">
        <v>4</v>
      </c>
      <c r="F5" s="6"/>
      <c r="G5" s="6"/>
      <c r="H5" s="6"/>
      <c r="I5" s="6"/>
      <c r="J5" s="6"/>
      <c r="K5" s="6"/>
      <c r="L5" s="6"/>
      <c r="M5" s="6"/>
      <c r="N5" s="9" t="s">
        <v>5</v>
      </c>
      <c r="O5" s="9"/>
      <c r="P5" s="9"/>
      <c r="Q5" s="6"/>
      <c r="R5" s="10" t="s">
        <v>6</v>
      </c>
      <c r="S5" s="10"/>
      <c r="T5" s="10"/>
      <c r="U5" s="10"/>
      <c r="V5" s="6"/>
      <c r="W5" s="9" t="s">
        <v>7</v>
      </c>
      <c r="X5" s="9"/>
      <c r="Y5" s="9"/>
      <c r="Z5" s="9"/>
      <c r="AA5" s="6"/>
    </row>
    <row r="6" ht="17.25" customHeight="1">
      <c r="A6" s="11" t="s">
        <v>8</v>
      </c>
      <c r="B6" s="11" t="s">
        <v>9</v>
      </c>
      <c r="C6" s="6"/>
      <c r="D6" s="11" t="s">
        <v>8</v>
      </c>
      <c r="E6" s="11" t="s">
        <v>10</v>
      </c>
      <c r="F6" s="6"/>
      <c r="G6" s="6"/>
      <c r="H6" s="6"/>
      <c r="I6" s="6"/>
      <c r="J6" s="6"/>
      <c r="K6" s="6"/>
      <c r="L6" s="6"/>
      <c r="M6" s="6"/>
      <c r="N6" s="11" t="s">
        <v>11</v>
      </c>
      <c r="O6" s="11" t="s">
        <v>12</v>
      </c>
      <c r="P6" s="11" t="s">
        <v>13</v>
      </c>
      <c r="Q6" s="6"/>
      <c r="R6" s="12" t="s">
        <v>14</v>
      </c>
      <c r="S6" s="12" t="s">
        <v>15</v>
      </c>
      <c r="T6" s="12" t="s">
        <v>11</v>
      </c>
      <c r="U6" s="12" t="s">
        <v>16</v>
      </c>
      <c r="V6" s="6"/>
      <c r="W6" s="11" t="s">
        <v>17</v>
      </c>
      <c r="X6" s="11" t="s">
        <v>18</v>
      </c>
      <c r="Y6" s="11" t="s">
        <v>19</v>
      </c>
      <c r="Z6" s="11" t="s">
        <v>20</v>
      </c>
      <c r="AA6" s="6"/>
    </row>
    <row r="7" ht="14.25" customHeight="1">
      <c r="A7" s="13" t="s">
        <v>58</v>
      </c>
      <c r="B7" s="22">
        <v>113.0</v>
      </c>
      <c r="C7" s="6"/>
      <c r="D7" s="13" t="s">
        <v>58</v>
      </c>
      <c r="E7" s="14">
        <v>116.0</v>
      </c>
      <c r="F7" s="6"/>
      <c r="G7" s="6"/>
      <c r="H7" s="6"/>
      <c r="I7" s="6"/>
      <c r="J7" s="6"/>
      <c r="K7" s="6"/>
      <c r="L7" s="6"/>
      <c r="M7" s="6"/>
      <c r="N7" s="15" t="s">
        <v>82</v>
      </c>
      <c r="O7" s="16">
        <f>COUNTIF(T7:T13,N7)</f>
        <v>4</v>
      </c>
      <c r="P7" s="17">
        <f>AVERAGE(U7:U13)</f>
        <v>0.63515</v>
      </c>
      <c r="Q7" s="6"/>
      <c r="R7" s="18">
        <v>10183.0</v>
      </c>
      <c r="S7" s="19">
        <v>46268.0</v>
      </c>
      <c r="T7" s="20" t="s">
        <v>82</v>
      </c>
      <c r="U7" s="21">
        <v>0.4902</v>
      </c>
      <c r="V7" s="6"/>
      <c r="W7" s="18">
        <v>10183.0</v>
      </c>
      <c r="X7" s="14">
        <v>17306.0</v>
      </c>
      <c r="Y7" s="14">
        <v>5495.0</v>
      </c>
      <c r="Z7" s="14">
        <v>100.0</v>
      </c>
      <c r="AA7" s="6"/>
    </row>
    <row r="8" ht="14.25" customHeight="1">
      <c r="A8" s="15" t="s">
        <v>112</v>
      </c>
      <c r="B8" s="14">
        <v>28.0</v>
      </c>
      <c r="C8" s="6"/>
      <c r="D8" s="15" t="s">
        <v>112</v>
      </c>
      <c r="E8" s="22">
        <v>26.0</v>
      </c>
      <c r="F8" s="6"/>
      <c r="G8" s="6"/>
      <c r="H8" s="6"/>
      <c r="I8" s="6"/>
      <c r="J8" s="6"/>
      <c r="K8" s="6"/>
      <c r="L8" s="6"/>
      <c r="M8" s="6"/>
      <c r="N8" s="15"/>
      <c r="O8" s="16"/>
      <c r="P8" s="17"/>
      <c r="Q8" s="6"/>
      <c r="R8" s="18">
        <v>10392.0</v>
      </c>
      <c r="S8" s="19">
        <v>46265.0</v>
      </c>
      <c r="T8" s="20" t="s">
        <v>82</v>
      </c>
      <c r="U8" s="21">
        <v>0.8133</v>
      </c>
      <c r="V8" s="6"/>
      <c r="W8" s="18">
        <v>10392.0</v>
      </c>
      <c r="X8" s="14">
        <v>61762.0</v>
      </c>
      <c r="Y8" s="14">
        <v>10985.0</v>
      </c>
      <c r="Z8" s="14">
        <v>389.0</v>
      </c>
      <c r="AA8" s="6"/>
    </row>
    <row r="9" ht="14.25" customHeight="1">
      <c r="A9" s="15" t="s">
        <v>113</v>
      </c>
      <c r="B9" s="14">
        <v>23.0</v>
      </c>
      <c r="C9" s="6"/>
      <c r="D9" s="15" t="s">
        <v>113</v>
      </c>
      <c r="E9" s="22">
        <v>16.0</v>
      </c>
      <c r="F9" s="6"/>
      <c r="G9" s="6"/>
      <c r="H9" s="6"/>
      <c r="I9" s="6"/>
      <c r="J9" s="6"/>
      <c r="K9" s="6"/>
      <c r="L9" s="6"/>
      <c r="M9" s="6"/>
      <c r="N9" s="15"/>
      <c r="O9" s="16"/>
      <c r="P9" s="17"/>
      <c r="Q9" s="6"/>
      <c r="R9" s="18">
        <v>10397.0</v>
      </c>
      <c r="S9" s="19">
        <v>46267.0</v>
      </c>
      <c r="T9" s="20" t="s">
        <v>82</v>
      </c>
      <c r="U9" s="21">
        <v>0.5865</v>
      </c>
      <c r="V9" s="6"/>
      <c r="W9" s="18">
        <v>10397.0</v>
      </c>
      <c r="X9" s="14">
        <v>67488.0</v>
      </c>
      <c r="Y9" s="14">
        <v>12371.0</v>
      </c>
      <c r="Z9" s="14">
        <v>312.0</v>
      </c>
      <c r="AA9" s="6"/>
    </row>
    <row r="10" ht="14.25" customHeight="1">
      <c r="B10" s="23">
        <f>SUMPRODUCT(B7:B9)</f>
        <v>164</v>
      </c>
      <c r="C10" s="6"/>
      <c r="D10" s="6"/>
      <c r="E10" s="23">
        <f>SUMPRODUCT(E7:E9)</f>
        <v>158</v>
      </c>
      <c r="F10" s="6"/>
      <c r="G10" s="6"/>
      <c r="H10" s="6"/>
      <c r="I10" s="6"/>
      <c r="J10" s="6"/>
      <c r="K10" s="6"/>
      <c r="L10" s="6"/>
      <c r="M10" s="6"/>
      <c r="N10" s="24" t="s">
        <v>29</v>
      </c>
      <c r="O10" s="25">
        <f>SUM(O7:O9)</f>
        <v>4</v>
      </c>
      <c r="P10" s="26">
        <f>AVERAGE(P7:P9)</f>
        <v>0.63515</v>
      </c>
      <c r="Q10" s="6"/>
      <c r="R10" s="18">
        <v>10398.0</v>
      </c>
      <c r="S10" s="19">
        <v>46267.0</v>
      </c>
      <c r="T10" s="20" t="s">
        <v>82</v>
      </c>
      <c r="U10" s="21">
        <v>0.6506</v>
      </c>
      <c r="V10" s="6"/>
      <c r="W10" s="18">
        <v>10398.0</v>
      </c>
      <c r="X10" s="14">
        <v>54833.0</v>
      </c>
      <c r="Y10" s="14">
        <v>9962.0</v>
      </c>
      <c r="Z10" s="14">
        <v>292.0</v>
      </c>
      <c r="AA10" s="6"/>
    </row>
    <row r="11" ht="14.25" customHeight="1">
      <c r="A11" s="6"/>
      <c r="C11" s="6"/>
      <c r="D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8"/>
      <c r="S11" s="19"/>
      <c r="T11" s="20"/>
      <c r="U11" s="21"/>
      <c r="V11" s="6"/>
      <c r="W11" s="18"/>
      <c r="X11" s="14"/>
      <c r="Y11" s="14"/>
      <c r="Z11" s="14"/>
      <c r="AA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8"/>
      <c r="S12" s="104"/>
      <c r="T12" s="65"/>
      <c r="U12" s="105"/>
      <c r="V12" s="6"/>
      <c r="W12" s="18"/>
      <c r="X12" s="14"/>
      <c r="Y12" s="14"/>
      <c r="Z12" s="14"/>
      <c r="AA12" s="6"/>
    </row>
    <row r="13" ht="14.25" customHeight="1">
      <c r="A13" s="6"/>
      <c r="B13" s="6"/>
      <c r="C13" s="6"/>
      <c r="D13" s="6"/>
      <c r="E13" s="6"/>
      <c r="F13" s="6"/>
      <c r="G13" s="27" t="s">
        <v>30</v>
      </c>
      <c r="H13" s="28"/>
      <c r="I13" s="6"/>
      <c r="J13" s="29" t="s">
        <v>30</v>
      </c>
      <c r="K13" s="29"/>
      <c r="L13" s="6"/>
      <c r="M13" s="6"/>
      <c r="N13" s="6"/>
      <c r="O13" s="6"/>
      <c r="P13" s="6"/>
      <c r="Q13" s="6"/>
      <c r="R13" s="18"/>
      <c r="S13" s="19"/>
      <c r="T13" s="20"/>
      <c r="U13" s="21"/>
      <c r="V13" s="6"/>
      <c r="W13" s="18"/>
      <c r="X13" s="14"/>
      <c r="Y13" s="14"/>
      <c r="Z13" s="14"/>
      <c r="AA13" s="6"/>
    </row>
    <row r="14" ht="14.25" customHeight="1">
      <c r="A14" s="6"/>
      <c r="B14" s="6"/>
      <c r="C14" s="6"/>
      <c r="D14" s="6"/>
      <c r="E14" s="6"/>
      <c r="F14" s="6"/>
      <c r="G14" s="12" t="s">
        <v>8</v>
      </c>
      <c r="H14" s="12" t="s">
        <v>9</v>
      </c>
      <c r="I14" s="6"/>
      <c r="J14" s="12" t="s">
        <v>8</v>
      </c>
      <c r="K14" s="12" t="s">
        <v>10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8"/>
      <c r="X14" s="14"/>
      <c r="Y14" s="14"/>
      <c r="Z14" s="14"/>
      <c r="AA14" s="6"/>
    </row>
    <row r="15" ht="14.25" customHeight="1">
      <c r="A15" s="6"/>
      <c r="B15" s="6"/>
      <c r="C15" s="6"/>
      <c r="D15" s="6"/>
      <c r="E15" s="6"/>
      <c r="F15" s="6"/>
      <c r="G15" s="13" t="s">
        <v>58</v>
      </c>
      <c r="H15" s="31" t="str">
        <f>IFERROR((#REF!-B7)/B7,"")</f>
        <v/>
      </c>
      <c r="I15" s="6"/>
      <c r="J15" s="13" t="s">
        <v>58</v>
      </c>
      <c r="K15" s="31">
        <f t="shared" ref="K15:K18" si="2">IFERROR((E22-E7)/E7,"")</f>
        <v>0.03448275862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34" t="s">
        <v>29</v>
      </c>
      <c r="X15" s="35">
        <f t="shared" ref="X15:Z15" si="1">SUM(X7:X14)</f>
        <v>201389</v>
      </c>
      <c r="Y15" s="35">
        <f t="shared" si="1"/>
        <v>38813</v>
      </c>
      <c r="Z15" s="35">
        <f t="shared" si="1"/>
        <v>1093</v>
      </c>
      <c r="AA15" s="6"/>
    </row>
    <row r="16" ht="14.25" customHeight="1">
      <c r="A16" s="6"/>
      <c r="B16" s="6"/>
      <c r="C16" s="6"/>
      <c r="D16" s="6"/>
      <c r="E16" s="6"/>
      <c r="F16" s="6"/>
      <c r="G16" s="15" t="s">
        <v>112</v>
      </c>
      <c r="H16" s="33">
        <f t="shared" ref="H16:H18" si="3">IFERROR((B23-B8)/B8,"")</f>
        <v>0.1071428571</v>
      </c>
      <c r="I16" s="6"/>
      <c r="J16" s="15" t="s">
        <v>112</v>
      </c>
      <c r="K16" s="33">
        <f t="shared" si="2"/>
        <v>-0.03846153846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1" t="s">
        <v>4</v>
      </c>
      <c r="AC16" s="72"/>
      <c r="AD16" s="72"/>
      <c r="AE16" s="73"/>
    </row>
    <row r="17" ht="16.5" customHeight="1">
      <c r="A17" s="6"/>
      <c r="B17" s="6"/>
      <c r="C17" s="6"/>
      <c r="D17" s="6"/>
      <c r="E17" s="6"/>
      <c r="F17" s="6"/>
      <c r="G17" s="15" t="s">
        <v>113</v>
      </c>
      <c r="H17" s="33">
        <f t="shared" si="3"/>
        <v>-0.1304347826</v>
      </c>
      <c r="I17" s="6"/>
      <c r="J17" s="15" t="s">
        <v>113</v>
      </c>
      <c r="K17" s="33">
        <f t="shared" si="2"/>
        <v>0.25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8" t="s">
        <v>33</v>
      </c>
      <c r="AC17" s="41"/>
      <c r="AD17" s="41"/>
      <c r="AE17" s="79"/>
    </row>
    <row r="18" ht="16.5" customHeight="1">
      <c r="A18" s="6"/>
      <c r="B18" s="6"/>
      <c r="C18" s="6"/>
      <c r="D18" s="6"/>
      <c r="E18" s="6"/>
      <c r="F18" s="6"/>
      <c r="G18" s="38" t="s">
        <v>31</v>
      </c>
      <c r="H18" s="39">
        <f t="shared" si="3"/>
        <v>0.08536585366</v>
      </c>
      <c r="J18" s="38" t="s">
        <v>32</v>
      </c>
      <c r="K18" s="39">
        <f t="shared" si="2"/>
        <v>0.04430379747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80" t="s">
        <v>34</v>
      </c>
      <c r="AC18" s="12" t="s">
        <v>18</v>
      </c>
      <c r="AD18" s="12" t="s">
        <v>19</v>
      </c>
      <c r="AE18" s="81" t="s">
        <v>20</v>
      </c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8" t="s">
        <v>47</v>
      </c>
      <c r="AA19" s="6"/>
      <c r="AB19" s="43" t="s">
        <v>82</v>
      </c>
      <c r="AC19" s="44">
        <f t="shared" ref="AC19:AE19" si="4">X22-X7</f>
        <v>57367</v>
      </c>
      <c r="AD19" s="44">
        <f t="shared" si="4"/>
        <v>3183</v>
      </c>
      <c r="AE19" s="45">
        <f t="shared" si="4"/>
        <v>98</v>
      </c>
    </row>
    <row r="20" ht="14.25" customHeight="1">
      <c r="A20" s="48" t="s">
        <v>36</v>
      </c>
      <c r="B20" s="2"/>
      <c r="C20" s="2"/>
      <c r="D20" s="2"/>
      <c r="E20" s="3"/>
      <c r="F20" s="6"/>
      <c r="G20" s="6"/>
      <c r="H20" s="6"/>
      <c r="I20" s="6"/>
      <c r="J20" s="6"/>
      <c r="K20" s="6"/>
      <c r="L20" s="6"/>
      <c r="M20" s="6"/>
      <c r="N20" s="9" t="s">
        <v>5</v>
      </c>
      <c r="O20" s="9"/>
      <c r="P20" s="9"/>
      <c r="Q20" s="6"/>
      <c r="R20" s="10" t="s">
        <v>6</v>
      </c>
      <c r="S20" s="10"/>
      <c r="T20" s="10"/>
      <c r="U20" s="10"/>
      <c r="V20" s="6"/>
      <c r="W20" s="9" t="s">
        <v>7</v>
      </c>
      <c r="X20" s="9"/>
      <c r="Y20" s="9"/>
      <c r="Z20" s="9"/>
      <c r="AA20" s="6"/>
      <c r="AB20" s="43" t="s">
        <v>82</v>
      </c>
      <c r="AC20" s="44">
        <f t="shared" ref="AC20:AE20" si="5">X23-X8</f>
        <v>-9496</v>
      </c>
      <c r="AD20" s="44">
        <f t="shared" si="5"/>
        <v>-3881</v>
      </c>
      <c r="AE20" s="45">
        <f t="shared" si="5"/>
        <v>-299</v>
      </c>
    </row>
    <row r="21" ht="18.75" customHeight="1">
      <c r="A21" s="11" t="s">
        <v>8</v>
      </c>
      <c r="B21" s="11" t="s">
        <v>9</v>
      </c>
      <c r="C21" s="6"/>
      <c r="D21" s="11" t="s">
        <v>8</v>
      </c>
      <c r="E21" s="11" t="s">
        <v>10</v>
      </c>
      <c r="F21" s="6"/>
      <c r="G21" s="6"/>
      <c r="H21" s="6"/>
      <c r="I21" s="6"/>
      <c r="J21" s="6"/>
      <c r="K21" s="6"/>
      <c r="L21" s="6"/>
      <c r="M21" s="6"/>
      <c r="N21" s="11" t="s">
        <v>11</v>
      </c>
      <c r="O21" s="11" t="s">
        <v>12</v>
      </c>
      <c r="P21" s="11" t="s">
        <v>13</v>
      </c>
      <c r="Q21" s="6"/>
      <c r="R21" s="12" t="s">
        <v>14</v>
      </c>
      <c r="S21" s="12" t="s">
        <v>15</v>
      </c>
      <c r="T21" s="12" t="s">
        <v>11</v>
      </c>
      <c r="U21" s="12" t="s">
        <v>16</v>
      </c>
      <c r="V21" s="6"/>
      <c r="W21" s="11" t="s">
        <v>17</v>
      </c>
      <c r="X21" s="11" t="s">
        <v>18</v>
      </c>
      <c r="Y21" s="11" t="s">
        <v>19</v>
      </c>
      <c r="Z21" s="11" t="s">
        <v>20</v>
      </c>
      <c r="AA21" s="6"/>
      <c r="AB21" s="43" t="s">
        <v>82</v>
      </c>
      <c r="AC21" s="44">
        <f t="shared" ref="AC21:AE21" si="6">X24-X9</f>
        <v>-67488</v>
      </c>
      <c r="AD21" s="44">
        <f t="shared" si="6"/>
        <v>-12371</v>
      </c>
      <c r="AE21" s="45">
        <f t="shared" si="6"/>
        <v>-312</v>
      </c>
    </row>
    <row r="22" ht="14.25" customHeight="1">
      <c r="A22" s="13" t="s">
        <v>58</v>
      </c>
      <c r="B22" s="22">
        <v>127.0</v>
      </c>
      <c r="C22" s="6"/>
      <c r="D22" s="13" t="s">
        <v>58</v>
      </c>
      <c r="E22" s="14">
        <v>120.0</v>
      </c>
      <c r="F22" s="6"/>
      <c r="G22" s="6"/>
      <c r="I22" s="6"/>
      <c r="J22" s="6"/>
      <c r="K22" s="6"/>
      <c r="L22" s="6"/>
      <c r="M22" s="6"/>
      <c r="N22" s="15" t="s">
        <v>82</v>
      </c>
      <c r="O22" s="16">
        <f>COUNTIF($T$22:$T$31,N22)</f>
        <v>2</v>
      </c>
      <c r="P22" s="17">
        <f>AVERAGE(U22:U31)</f>
        <v>0.6088</v>
      </c>
      <c r="Q22" s="6"/>
      <c r="R22" s="18">
        <v>10414.0</v>
      </c>
      <c r="S22" s="19">
        <v>46274.0</v>
      </c>
      <c r="T22" s="20" t="s">
        <v>82</v>
      </c>
      <c r="U22" s="21">
        <v>0.6089</v>
      </c>
      <c r="V22" s="6"/>
      <c r="W22" s="18">
        <v>10414.0</v>
      </c>
      <c r="X22" s="22">
        <v>74673.0</v>
      </c>
      <c r="Y22" s="22">
        <v>8678.0</v>
      </c>
      <c r="Z22" s="22">
        <v>198.0</v>
      </c>
      <c r="AA22" s="6"/>
      <c r="AB22" s="43" t="s">
        <v>82</v>
      </c>
      <c r="AC22" s="144">
        <f t="shared" ref="AC22:AE22" si="7">X25-X10</f>
        <v>-54833</v>
      </c>
      <c r="AD22" s="144">
        <f t="shared" si="7"/>
        <v>-9962</v>
      </c>
      <c r="AE22" s="145">
        <f t="shared" si="7"/>
        <v>-292</v>
      </c>
    </row>
    <row r="23" ht="14.25" customHeight="1">
      <c r="A23" s="15" t="s">
        <v>112</v>
      </c>
      <c r="B23" s="14">
        <v>31.0</v>
      </c>
      <c r="C23" s="6"/>
      <c r="D23" s="15" t="s">
        <v>112</v>
      </c>
      <c r="E23" s="14">
        <v>25.0</v>
      </c>
      <c r="F23" s="6"/>
      <c r="G23" s="6"/>
      <c r="H23" s="6"/>
      <c r="I23" s="6"/>
      <c r="J23" s="6"/>
      <c r="K23" s="6"/>
      <c r="L23" s="6"/>
      <c r="M23" s="6"/>
      <c r="N23" s="15"/>
      <c r="O23" s="16"/>
      <c r="P23" s="17"/>
      <c r="Q23" s="6"/>
      <c r="R23" s="18">
        <v>10415.0</v>
      </c>
      <c r="S23" s="19">
        <v>46274.0</v>
      </c>
      <c r="T23" s="20" t="s">
        <v>82</v>
      </c>
      <c r="U23" s="21">
        <v>0.6087</v>
      </c>
      <c r="V23" s="6"/>
      <c r="W23" s="18">
        <v>10415.0</v>
      </c>
      <c r="X23" s="22">
        <v>52266.0</v>
      </c>
      <c r="Y23" s="22">
        <v>7104.0</v>
      </c>
      <c r="Z23" s="22">
        <v>90.0</v>
      </c>
      <c r="AA23" s="6"/>
    </row>
    <row r="24" ht="14.25" customHeight="1">
      <c r="A24" s="15" t="s">
        <v>113</v>
      </c>
      <c r="B24" s="14">
        <v>20.0</v>
      </c>
      <c r="C24" s="6"/>
      <c r="D24" s="15" t="s">
        <v>113</v>
      </c>
      <c r="E24" s="14">
        <v>20.0</v>
      </c>
      <c r="F24" s="6"/>
      <c r="G24" s="6"/>
      <c r="H24" s="6"/>
      <c r="J24" s="6"/>
      <c r="K24" s="6"/>
      <c r="L24" s="6"/>
      <c r="M24" s="6"/>
      <c r="N24" s="15"/>
      <c r="O24" s="16"/>
      <c r="P24" s="17"/>
      <c r="Q24" s="6"/>
      <c r="R24" s="18"/>
      <c r="S24" s="19"/>
      <c r="T24" s="20"/>
      <c r="U24" s="21"/>
      <c r="V24" s="6"/>
      <c r="W24" s="18"/>
      <c r="X24" s="14"/>
      <c r="Y24" s="14"/>
      <c r="Z24" s="14"/>
      <c r="AA24" s="6"/>
    </row>
    <row r="25" ht="14.25" customHeight="1">
      <c r="B25" s="23">
        <f>SUMPRODUCT(B22:B24)</f>
        <v>178</v>
      </c>
      <c r="C25" s="6"/>
      <c r="E25" s="23">
        <f>SUMPRODUCT(E22:E24)</f>
        <v>165</v>
      </c>
      <c r="F25" s="6"/>
      <c r="G25" s="6"/>
      <c r="H25" s="6"/>
      <c r="I25" s="6"/>
      <c r="J25" s="6"/>
      <c r="K25" s="6"/>
      <c r="L25" s="6"/>
      <c r="M25" s="6"/>
      <c r="N25" s="24" t="s">
        <v>29</v>
      </c>
      <c r="O25" s="25">
        <f>SUM(O22:O24)</f>
        <v>2</v>
      </c>
      <c r="P25" s="26">
        <f>AVERAGE(P22:P24)</f>
        <v>0.6088</v>
      </c>
      <c r="Q25" s="6"/>
      <c r="R25" s="18"/>
      <c r="S25" s="19"/>
      <c r="T25" s="20"/>
      <c r="U25" s="21"/>
      <c r="V25" s="6"/>
      <c r="W25" s="18"/>
      <c r="X25" s="14"/>
      <c r="Y25" s="14"/>
      <c r="Z25" s="14"/>
      <c r="AA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8"/>
      <c r="S26" s="19"/>
      <c r="T26" s="20"/>
      <c r="U26" s="21"/>
      <c r="V26" s="6"/>
      <c r="W26" s="18"/>
      <c r="X26" s="14"/>
      <c r="Y26" s="14"/>
      <c r="Z26" s="14"/>
      <c r="AA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8"/>
      <c r="S27" s="19"/>
      <c r="T27" s="20"/>
      <c r="U27" s="21"/>
      <c r="V27" s="6"/>
      <c r="W27" s="18"/>
      <c r="X27" s="14"/>
      <c r="Y27" s="14"/>
      <c r="Z27" s="14"/>
      <c r="AA27" s="6"/>
    </row>
    <row r="28" ht="14.25" customHeight="1">
      <c r="A28" s="6"/>
      <c r="B28" s="6"/>
      <c r="C28" s="6"/>
      <c r="D28" s="6"/>
      <c r="E28" s="6"/>
      <c r="F28" s="6"/>
      <c r="G28" s="27" t="s">
        <v>30</v>
      </c>
      <c r="H28" s="28"/>
      <c r="I28" s="6"/>
      <c r="J28" s="29" t="s">
        <v>30</v>
      </c>
      <c r="K28" s="29"/>
      <c r="L28" s="6"/>
      <c r="M28" s="6"/>
      <c r="N28" s="6"/>
      <c r="O28" s="6"/>
      <c r="P28" s="6"/>
      <c r="Q28" s="6"/>
      <c r="R28" s="18"/>
      <c r="S28" s="19"/>
      <c r="T28" s="65"/>
      <c r="U28" s="21"/>
      <c r="V28" s="6"/>
      <c r="W28" s="18"/>
      <c r="X28" s="14"/>
      <c r="Y28" s="14"/>
      <c r="Z28" s="14"/>
      <c r="AA28" s="6"/>
    </row>
    <row r="29" ht="14.25" customHeight="1">
      <c r="A29" s="6"/>
      <c r="B29" s="6"/>
      <c r="C29" s="6"/>
      <c r="D29" s="6"/>
      <c r="E29" s="6"/>
      <c r="F29" s="6"/>
      <c r="G29" s="12" t="s">
        <v>8</v>
      </c>
      <c r="H29" s="12" t="s">
        <v>9</v>
      </c>
      <c r="I29" s="6"/>
      <c r="J29" s="12" t="s">
        <v>8</v>
      </c>
      <c r="K29" s="12" t="s">
        <v>10</v>
      </c>
      <c r="L29" s="6"/>
      <c r="M29" s="6"/>
      <c r="N29" s="6"/>
      <c r="O29" s="6"/>
      <c r="P29" s="6"/>
      <c r="Q29" s="6"/>
      <c r="R29" s="18"/>
      <c r="S29" s="19"/>
      <c r="T29" s="20"/>
      <c r="U29" s="21"/>
      <c r="V29" s="6"/>
      <c r="W29" s="18"/>
      <c r="X29" s="14"/>
      <c r="Y29" s="14"/>
      <c r="Z29" s="14"/>
      <c r="AA29" s="6"/>
    </row>
    <row r="30" ht="14.25" customHeight="1">
      <c r="A30" s="6"/>
      <c r="B30" s="6"/>
      <c r="C30" s="6"/>
      <c r="D30" s="6"/>
      <c r="E30" s="6"/>
      <c r="F30" s="6"/>
      <c r="G30" s="13" t="s">
        <v>58</v>
      </c>
      <c r="H30" s="31">
        <f t="shared" ref="H30:H33" si="8">IFERROR((B40-B22)/B22,"")</f>
        <v>-1</v>
      </c>
      <c r="I30" s="6"/>
      <c r="J30" s="13" t="s">
        <v>58</v>
      </c>
      <c r="K30" s="33">
        <f t="shared" ref="K30:K33" si="9">IFERROR((E40-E22)/E22,"")</f>
        <v>-1</v>
      </c>
      <c r="L30" s="6"/>
      <c r="M30" s="6"/>
      <c r="N30" s="6"/>
      <c r="O30" s="6"/>
      <c r="P30" s="6"/>
      <c r="Q30" s="6"/>
      <c r="R30" s="18"/>
      <c r="S30" s="19"/>
      <c r="T30" s="20"/>
      <c r="U30" s="21"/>
      <c r="V30" s="6"/>
      <c r="W30" s="18"/>
      <c r="X30" s="14"/>
      <c r="Y30" s="14"/>
      <c r="Z30" s="14"/>
      <c r="AA30" s="6"/>
    </row>
    <row r="31" ht="14.25" customHeight="1">
      <c r="A31" s="6"/>
      <c r="B31" s="6"/>
      <c r="C31" s="6"/>
      <c r="D31" s="6"/>
      <c r="E31" s="6"/>
      <c r="F31" s="6"/>
      <c r="G31" s="15" t="s">
        <v>112</v>
      </c>
      <c r="H31" s="31">
        <f t="shared" si="8"/>
        <v>-1</v>
      </c>
      <c r="I31" s="6"/>
      <c r="J31" s="15" t="s">
        <v>112</v>
      </c>
      <c r="K31" s="33">
        <f t="shared" si="9"/>
        <v>-1</v>
      </c>
      <c r="L31" s="6"/>
      <c r="M31" s="6"/>
      <c r="N31" s="6"/>
      <c r="O31" s="6"/>
      <c r="P31" s="6"/>
      <c r="Q31" s="6"/>
      <c r="R31" s="18"/>
      <c r="S31" s="19"/>
      <c r="T31" s="20"/>
      <c r="U31" s="21"/>
      <c r="V31" s="6"/>
      <c r="W31" s="18"/>
      <c r="X31" s="14"/>
      <c r="Y31" s="14"/>
      <c r="Z31" s="14"/>
      <c r="AA31" s="6"/>
    </row>
    <row r="32" ht="14.25" customHeight="1">
      <c r="A32" s="6"/>
      <c r="B32" s="6"/>
      <c r="C32" s="6"/>
      <c r="D32" s="6"/>
      <c r="E32" s="6"/>
      <c r="F32" s="6"/>
      <c r="G32" s="15" t="s">
        <v>113</v>
      </c>
      <c r="H32" s="31">
        <f t="shared" si="8"/>
        <v>-1</v>
      </c>
      <c r="I32" s="6"/>
      <c r="J32" s="15" t="s">
        <v>113</v>
      </c>
      <c r="K32" s="33">
        <f t="shared" si="9"/>
        <v>-1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34" t="s">
        <v>29</v>
      </c>
      <c r="X32" s="35">
        <f t="shared" ref="X32:Z32" si="10">SUM(X22:X31)</f>
        <v>126939</v>
      </c>
      <c r="Y32" s="35">
        <f t="shared" si="10"/>
        <v>15782</v>
      </c>
      <c r="Z32" s="35">
        <f t="shared" si="10"/>
        <v>288</v>
      </c>
    </row>
    <row r="33" ht="14.25" customHeight="1">
      <c r="A33" s="6"/>
      <c r="B33" s="6"/>
      <c r="C33" s="6"/>
      <c r="D33" s="6"/>
      <c r="E33" s="6"/>
      <c r="F33" s="6"/>
      <c r="G33" s="38" t="s">
        <v>31</v>
      </c>
      <c r="H33" s="151">
        <f t="shared" si="8"/>
        <v>-1</v>
      </c>
      <c r="J33" s="38" t="s">
        <v>32</v>
      </c>
      <c r="K33" s="39">
        <f t="shared" si="9"/>
        <v>-1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71" t="s">
        <v>47</v>
      </c>
      <c r="AC33" s="72"/>
      <c r="AD33" s="72"/>
      <c r="AE33" s="73"/>
    </row>
    <row r="34" ht="14.25" customHeight="1">
      <c r="A34" s="6"/>
      <c r="B34" s="6"/>
      <c r="C34" s="6"/>
      <c r="D34" s="6"/>
      <c r="E34" s="6"/>
      <c r="F34" s="6"/>
      <c r="G34" s="88"/>
      <c r="H34" s="69"/>
      <c r="J34" s="88"/>
      <c r="K34" s="69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78" t="s">
        <v>33</v>
      </c>
      <c r="AC34" s="41"/>
      <c r="AD34" s="41"/>
      <c r="AE34" s="79"/>
    </row>
    <row r="35" ht="14.25" customHeight="1">
      <c r="A35" s="6"/>
      <c r="B35" s="6"/>
      <c r="C35" s="6"/>
      <c r="D35" s="6"/>
      <c r="E35" s="6"/>
      <c r="F35" s="6"/>
      <c r="G35" s="88"/>
      <c r="H35" s="69"/>
      <c r="J35" s="88"/>
      <c r="K35" s="69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80" t="s">
        <v>34</v>
      </c>
      <c r="AC35" s="12" t="s">
        <v>18</v>
      </c>
      <c r="AD35" s="12" t="s">
        <v>19</v>
      </c>
      <c r="AE35" s="81" t="s">
        <v>20</v>
      </c>
    </row>
    <row r="36" ht="14.25" customHeight="1">
      <c r="A36" s="6"/>
      <c r="B36" s="6"/>
      <c r="C36" s="6"/>
      <c r="D36" s="6"/>
      <c r="E36" s="6"/>
      <c r="F36" s="6"/>
      <c r="G36" s="88"/>
      <c r="H36" s="69"/>
      <c r="J36" s="88"/>
      <c r="K36" s="69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43" t="s">
        <v>82</v>
      </c>
      <c r="AC36" s="44">
        <f t="shared" ref="AC36:AE36" si="11">X40-X22</f>
        <v>-74673</v>
      </c>
      <c r="AD36" s="44">
        <f t="shared" si="11"/>
        <v>-8678</v>
      </c>
      <c r="AE36" s="45">
        <f t="shared" si="11"/>
        <v>-198</v>
      </c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8" t="s">
        <v>56</v>
      </c>
      <c r="AA37" s="6"/>
      <c r="AB37" s="43" t="s">
        <v>82</v>
      </c>
      <c r="AC37" s="44">
        <f t="shared" ref="AC37:AE37" si="12">X41-X23</f>
        <v>-52266</v>
      </c>
      <c r="AD37" s="44">
        <f t="shared" si="12"/>
        <v>-7104</v>
      </c>
      <c r="AE37" s="45">
        <f t="shared" si="12"/>
        <v>-90</v>
      </c>
    </row>
    <row r="38" ht="14.25" customHeight="1">
      <c r="A38" s="48" t="s">
        <v>56</v>
      </c>
      <c r="B38" s="2"/>
      <c r="C38" s="2"/>
      <c r="D38" s="2"/>
      <c r="E38" s="3"/>
      <c r="F38" s="6"/>
      <c r="G38" s="6"/>
      <c r="H38" s="6"/>
      <c r="I38" s="6"/>
      <c r="J38" s="6"/>
      <c r="K38" s="6"/>
      <c r="L38" s="6"/>
      <c r="M38" s="6"/>
      <c r="N38" s="9" t="s">
        <v>5</v>
      </c>
      <c r="O38" s="9"/>
      <c r="P38" s="9"/>
      <c r="Q38" s="6"/>
      <c r="R38" s="10" t="s">
        <v>6</v>
      </c>
      <c r="S38" s="10"/>
      <c r="T38" s="10"/>
      <c r="U38" s="10"/>
      <c r="V38" s="6"/>
      <c r="W38" s="9" t="s">
        <v>7</v>
      </c>
      <c r="X38" s="9"/>
      <c r="Y38" s="9"/>
      <c r="Z38" s="9"/>
      <c r="AA38" s="6"/>
      <c r="AB38" s="43" t="s">
        <v>82</v>
      </c>
      <c r="AC38" s="44">
        <f t="shared" ref="AC38:AE38" si="13">X42-X24</f>
        <v>0</v>
      </c>
      <c r="AD38" s="44">
        <f t="shared" si="13"/>
        <v>0</v>
      </c>
      <c r="AE38" s="45">
        <f t="shared" si="13"/>
        <v>0</v>
      </c>
    </row>
    <row r="39" ht="18.75" customHeight="1">
      <c r="A39" s="11" t="s">
        <v>8</v>
      </c>
      <c r="B39" s="11" t="s">
        <v>9</v>
      </c>
      <c r="C39" s="6"/>
      <c r="D39" s="11" t="s">
        <v>8</v>
      </c>
      <c r="E39" s="11" t="s">
        <v>10</v>
      </c>
      <c r="F39" s="6"/>
      <c r="G39" s="6"/>
      <c r="H39" s="6"/>
      <c r="I39" s="6"/>
      <c r="J39" s="6"/>
      <c r="K39" s="6"/>
      <c r="L39" s="6"/>
      <c r="M39" s="6"/>
      <c r="N39" s="11" t="s">
        <v>11</v>
      </c>
      <c r="O39" s="11" t="s">
        <v>12</v>
      </c>
      <c r="P39" s="11" t="s">
        <v>13</v>
      </c>
      <c r="Q39" s="6"/>
      <c r="R39" s="12" t="s">
        <v>14</v>
      </c>
      <c r="S39" s="12" t="s">
        <v>15</v>
      </c>
      <c r="T39" s="12" t="s">
        <v>11</v>
      </c>
      <c r="U39" s="12" t="s">
        <v>16</v>
      </c>
      <c r="V39" s="6"/>
      <c r="W39" s="11" t="s">
        <v>17</v>
      </c>
      <c r="X39" s="11" t="s">
        <v>18</v>
      </c>
      <c r="Y39" s="11" t="s">
        <v>19</v>
      </c>
      <c r="Z39" s="11" t="s">
        <v>20</v>
      </c>
      <c r="AA39" s="6"/>
      <c r="AB39" s="43" t="s">
        <v>82</v>
      </c>
      <c r="AC39" s="144">
        <f t="shared" ref="AC39:AE39" si="14">X43-X25</f>
        <v>0</v>
      </c>
      <c r="AD39" s="144">
        <f t="shared" si="14"/>
        <v>0</v>
      </c>
      <c r="AE39" s="145">
        <f t="shared" si="14"/>
        <v>0</v>
      </c>
    </row>
    <row r="40" ht="14.25" customHeight="1">
      <c r="A40" s="13" t="s">
        <v>58</v>
      </c>
      <c r="B40" s="14"/>
      <c r="C40" s="6"/>
      <c r="D40" s="13" t="s">
        <v>58</v>
      </c>
      <c r="E40" s="14"/>
      <c r="F40" s="6"/>
      <c r="G40" s="6"/>
      <c r="H40" s="6"/>
      <c r="I40" s="6"/>
      <c r="J40" s="6"/>
      <c r="K40" s="6"/>
      <c r="L40" s="6"/>
      <c r="M40" s="6"/>
      <c r="N40" s="15" t="s">
        <v>82</v>
      </c>
      <c r="O40" s="16">
        <f>COUNTIF($T$40:$T$49,N40)</f>
        <v>0</v>
      </c>
      <c r="P40" s="17" t="str">
        <f>AVERAGE(U40:U49)</f>
        <v>#DIV/0!</v>
      </c>
      <c r="Q40" s="6"/>
      <c r="R40" s="18"/>
      <c r="S40" s="19"/>
      <c r="T40" s="20"/>
      <c r="U40" s="21"/>
      <c r="V40" s="6"/>
      <c r="W40" s="18"/>
      <c r="X40" s="22"/>
      <c r="Y40" s="22"/>
      <c r="Z40" s="22"/>
      <c r="AA40" s="6"/>
    </row>
    <row r="41" ht="14.25" customHeight="1">
      <c r="A41" s="15" t="s">
        <v>112</v>
      </c>
      <c r="B41" s="14"/>
      <c r="C41" s="6"/>
      <c r="D41" s="15" t="s">
        <v>112</v>
      </c>
      <c r="E41" s="14"/>
      <c r="F41" s="6"/>
      <c r="G41" s="6"/>
      <c r="H41" s="6"/>
      <c r="I41" s="6"/>
      <c r="J41" s="6"/>
      <c r="K41" s="6"/>
      <c r="L41" s="6"/>
      <c r="M41" s="6"/>
      <c r="N41" s="15"/>
      <c r="O41" s="16"/>
      <c r="P41" s="17"/>
      <c r="Q41" s="6"/>
      <c r="R41" s="18"/>
      <c r="S41" s="19"/>
      <c r="T41" s="20"/>
      <c r="U41" s="21"/>
      <c r="V41" s="6"/>
      <c r="W41" s="18"/>
      <c r="X41" s="14"/>
      <c r="Y41" s="14"/>
      <c r="Z41" s="14"/>
      <c r="AA41" s="6"/>
    </row>
    <row r="42" ht="14.25" customHeight="1">
      <c r="A42" s="15" t="s">
        <v>113</v>
      </c>
      <c r="B42" s="14"/>
      <c r="C42" s="6"/>
      <c r="D42" s="15" t="s">
        <v>113</v>
      </c>
      <c r="E42" s="14"/>
      <c r="F42" s="6"/>
      <c r="G42" s="6"/>
      <c r="H42" s="6"/>
      <c r="I42" s="6"/>
      <c r="J42" s="6"/>
      <c r="K42" s="6"/>
      <c r="L42" s="6"/>
      <c r="M42" s="6"/>
      <c r="N42" s="15"/>
      <c r="O42" s="16"/>
      <c r="P42" s="17"/>
      <c r="Q42" s="6"/>
      <c r="R42" s="18"/>
      <c r="S42" s="19"/>
      <c r="T42" s="20"/>
      <c r="U42" s="21"/>
      <c r="V42" s="6"/>
      <c r="W42" s="18"/>
      <c r="X42" s="14"/>
      <c r="Y42" s="14"/>
      <c r="Z42" s="14"/>
      <c r="AA42" s="6"/>
    </row>
    <row r="43" ht="14.25" customHeight="1">
      <c r="B43" s="23">
        <f>SUMPRODUCT(B40:B42)</f>
        <v>0</v>
      </c>
      <c r="C43" s="6"/>
      <c r="E43" s="23">
        <f>SUMPRODUCT(E40:E42)</f>
        <v>0</v>
      </c>
      <c r="F43" s="6"/>
      <c r="G43" s="6"/>
      <c r="H43" s="6"/>
      <c r="I43" s="6"/>
      <c r="J43" s="6"/>
      <c r="K43" s="6"/>
      <c r="L43" s="6"/>
      <c r="M43" s="6"/>
      <c r="N43" s="24" t="s">
        <v>29</v>
      </c>
      <c r="O43" s="25">
        <f>SUM(O40:O42)</f>
        <v>0</v>
      </c>
      <c r="P43" s="26" t="str">
        <f>AVERAGE(P40:P41)</f>
        <v>#DIV/0!</v>
      </c>
      <c r="Q43" s="6"/>
      <c r="R43" s="18"/>
      <c r="S43" s="19"/>
      <c r="T43" s="20"/>
      <c r="U43" s="21"/>
      <c r="V43" s="6"/>
      <c r="W43" s="18"/>
      <c r="X43" s="14"/>
      <c r="Y43" s="14"/>
      <c r="Z43" s="14"/>
      <c r="AA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8"/>
      <c r="S44" s="19"/>
      <c r="T44" s="20"/>
      <c r="U44" s="21"/>
      <c r="V44" s="6"/>
      <c r="W44" s="18"/>
      <c r="X44" s="14"/>
      <c r="Y44" s="14"/>
      <c r="Z44" s="14"/>
      <c r="AA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8"/>
      <c r="S45" s="19"/>
      <c r="T45" s="20"/>
      <c r="U45" s="21"/>
      <c r="V45" s="6"/>
      <c r="W45" s="18"/>
      <c r="X45" s="14"/>
      <c r="Y45" s="14"/>
      <c r="Z45" s="14"/>
      <c r="AA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8"/>
      <c r="S46" s="19"/>
      <c r="T46" s="65"/>
      <c r="U46" s="21"/>
      <c r="V46" s="6"/>
      <c r="W46" s="18"/>
      <c r="X46" s="14"/>
      <c r="Y46" s="14"/>
      <c r="Z46" s="14"/>
      <c r="AA46" s="6"/>
    </row>
    <row r="47" ht="14.25" customHeight="1">
      <c r="A47" s="6"/>
      <c r="B47" s="6"/>
      <c r="C47" s="6"/>
      <c r="D47" s="6"/>
      <c r="E47" s="6"/>
      <c r="F47" s="6"/>
      <c r="G47" s="27" t="s">
        <v>30</v>
      </c>
      <c r="H47" s="28"/>
      <c r="I47" s="6"/>
      <c r="J47" s="29" t="s">
        <v>30</v>
      </c>
      <c r="K47" s="29"/>
      <c r="L47" s="6"/>
      <c r="M47" s="6"/>
      <c r="N47" s="6"/>
      <c r="O47" s="6"/>
      <c r="P47" s="6"/>
      <c r="Q47" s="6"/>
      <c r="R47" s="18"/>
      <c r="S47" s="19"/>
      <c r="T47" s="20"/>
      <c r="U47" s="21"/>
      <c r="V47" s="6"/>
      <c r="W47" s="18"/>
      <c r="X47" s="14"/>
      <c r="Y47" s="14"/>
      <c r="Z47" s="14"/>
      <c r="AA47" s="6"/>
    </row>
    <row r="48" ht="14.25" customHeight="1">
      <c r="A48" s="6"/>
      <c r="B48" s="6"/>
      <c r="C48" s="6"/>
      <c r="D48" s="6"/>
      <c r="E48" s="6"/>
      <c r="F48" s="6"/>
      <c r="G48" s="12" t="s">
        <v>8</v>
      </c>
      <c r="H48" s="12" t="s">
        <v>9</v>
      </c>
      <c r="I48" s="6"/>
      <c r="J48" s="12" t="s">
        <v>8</v>
      </c>
      <c r="K48" s="12" t="s">
        <v>10</v>
      </c>
      <c r="L48" s="6"/>
      <c r="M48" s="6"/>
      <c r="N48" s="6"/>
      <c r="O48" s="6"/>
      <c r="P48" s="6"/>
      <c r="Q48" s="6"/>
      <c r="R48" s="18"/>
      <c r="S48" s="19"/>
      <c r="T48" s="20"/>
      <c r="U48" s="21"/>
      <c r="V48" s="6"/>
      <c r="W48" s="18"/>
      <c r="X48" s="14"/>
      <c r="Y48" s="14"/>
      <c r="Z48" s="14"/>
      <c r="AA48" s="6"/>
    </row>
    <row r="49" ht="14.25" customHeight="1">
      <c r="A49" s="6"/>
      <c r="B49" s="6"/>
      <c r="C49" s="6"/>
      <c r="D49" s="6"/>
      <c r="E49" s="6"/>
      <c r="F49" s="6"/>
      <c r="G49" s="13" t="s">
        <v>58</v>
      </c>
      <c r="H49" s="31" t="str">
        <f>IFERROR((B57-B40)/B40,"")</f>
        <v/>
      </c>
      <c r="I49" s="6"/>
      <c r="J49" s="13" t="s">
        <v>58</v>
      </c>
      <c r="K49" s="31" t="str">
        <f>IFERROR((E57-E40)/E40,"")</f>
        <v/>
      </c>
      <c r="L49" s="6"/>
      <c r="M49" s="6"/>
      <c r="N49" s="6"/>
      <c r="O49" s="6"/>
      <c r="P49" s="6"/>
      <c r="Q49" s="6"/>
      <c r="R49" s="18"/>
      <c r="S49" s="19"/>
      <c r="T49" s="20"/>
      <c r="U49" s="21"/>
      <c r="V49" s="6"/>
      <c r="W49" s="18"/>
      <c r="X49" s="14"/>
      <c r="Y49" s="14"/>
      <c r="Z49" s="14"/>
      <c r="AA49" s="6"/>
    </row>
    <row r="50" ht="14.25" customHeight="1">
      <c r="A50" s="6"/>
      <c r="B50" s="6"/>
      <c r="C50" s="6"/>
      <c r="D50" s="6"/>
      <c r="E50" s="6"/>
      <c r="F50" s="6"/>
      <c r="G50" s="15" t="s">
        <v>112</v>
      </c>
      <c r="H50" s="33" t="str">
        <f>IFERROR((#REF!-B41)/B41,"")</f>
        <v/>
      </c>
      <c r="I50" s="6"/>
      <c r="J50" s="15" t="s">
        <v>112</v>
      </c>
      <c r="K50" s="33" t="str">
        <f>IFERROR((#REF!-E41)/E41,"")</f>
        <v/>
      </c>
      <c r="L50" s="6"/>
      <c r="M50" s="6"/>
      <c r="N50" s="6"/>
      <c r="P50" s="6"/>
      <c r="Q50" s="6"/>
      <c r="R50" s="6"/>
      <c r="S50" s="6"/>
      <c r="T50" s="6"/>
      <c r="U50" s="6"/>
      <c r="V50" s="6"/>
      <c r="W50" s="34" t="s">
        <v>29</v>
      </c>
      <c r="X50" s="35">
        <f t="shared" ref="X50:Z50" si="15">SUM(X40:X49)</f>
        <v>0</v>
      </c>
      <c r="Y50" s="35">
        <f t="shared" si="15"/>
        <v>0</v>
      </c>
      <c r="Z50" s="35">
        <f t="shared" si="15"/>
        <v>0</v>
      </c>
      <c r="AA50" s="6"/>
    </row>
    <row r="51" ht="14.25" customHeight="1">
      <c r="A51" s="6"/>
      <c r="B51" s="6"/>
      <c r="C51" s="6"/>
      <c r="D51" s="6"/>
      <c r="E51" s="6"/>
      <c r="F51" s="6"/>
      <c r="G51" s="15" t="s">
        <v>113</v>
      </c>
      <c r="H51" s="33" t="str">
        <f>IFERROR((B58-B42)/B42,"")</f>
        <v/>
      </c>
      <c r="I51" s="6"/>
      <c r="J51" s="15" t="s">
        <v>113</v>
      </c>
      <c r="K51" s="33" t="str">
        <f>IFERROR((E58-E42)/E42,"")</f>
        <v/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A52" s="6"/>
      <c r="B52" s="6"/>
      <c r="C52" s="6"/>
      <c r="D52" s="6"/>
      <c r="E52" s="6"/>
      <c r="F52" s="6"/>
      <c r="G52" s="38" t="s">
        <v>31</v>
      </c>
      <c r="H52" s="39" t="str">
        <f>IFERROR((#REF!-B43)/B43,"")</f>
        <v/>
      </c>
      <c r="J52" s="38" t="s">
        <v>32</v>
      </c>
      <c r="K52" s="39" t="str">
        <f>IFERROR((#REF!-E43)/E43,"")</f>
        <v/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4.25" customHeight="1">
      <c r="A53" s="48" t="s">
        <v>68</v>
      </c>
      <c r="B53" s="2"/>
      <c r="C53" s="2"/>
      <c r="D53" s="2"/>
      <c r="E53" s="3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4.25" customHeight="1">
      <c r="A54" s="11" t="s">
        <v>8</v>
      </c>
      <c r="B54" s="11" t="s">
        <v>9</v>
      </c>
      <c r="C54" s="6"/>
      <c r="D54" s="11" t="s">
        <v>8</v>
      </c>
      <c r="E54" s="11" t="s">
        <v>10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8" t="s">
        <v>68</v>
      </c>
      <c r="AA54" s="6"/>
    </row>
    <row r="55" ht="14.25" customHeight="1">
      <c r="A55" s="13" t="s">
        <v>58</v>
      </c>
      <c r="B55" s="14"/>
      <c r="C55" s="6"/>
      <c r="D55" s="13" t="s">
        <v>58</v>
      </c>
      <c r="E55" s="14"/>
      <c r="F55" s="6"/>
      <c r="G55" s="6"/>
      <c r="H55" s="6"/>
      <c r="I55" s="6"/>
      <c r="J55" s="6"/>
      <c r="K55" s="6"/>
      <c r="L55" s="6"/>
      <c r="M55" s="6"/>
      <c r="N55" s="9" t="s">
        <v>5</v>
      </c>
      <c r="O55" s="9"/>
      <c r="P55" s="9"/>
      <c r="Q55" s="6"/>
      <c r="R55" s="10" t="s">
        <v>6</v>
      </c>
      <c r="S55" s="10"/>
      <c r="T55" s="10"/>
      <c r="U55" s="10"/>
      <c r="V55" s="6"/>
      <c r="W55" s="9" t="s">
        <v>7</v>
      </c>
      <c r="X55" s="9"/>
      <c r="Y55" s="9"/>
      <c r="Z55" s="9"/>
      <c r="AA55" s="6"/>
    </row>
    <row r="56" ht="15.75" customHeight="1">
      <c r="A56" s="15" t="s">
        <v>112</v>
      </c>
      <c r="B56" s="14"/>
      <c r="C56" s="6"/>
      <c r="D56" s="15" t="s">
        <v>112</v>
      </c>
      <c r="E56" s="14"/>
      <c r="F56" s="6"/>
      <c r="G56" s="6"/>
      <c r="H56" s="6"/>
      <c r="I56" s="6"/>
      <c r="J56" s="6"/>
      <c r="K56" s="6"/>
      <c r="L56" s="6"/>
      <c r="M56" s="6"/>
      <c r="N56" s="11" t="s">
        <v>11</v>
      </c>
      <c r="O56" s="11" t="s">
        <v>12</v>
      </c>
      <c r="P56" s="11" t="s">
        <v>13</v>
      </c>
      <c r="Q56" s="6"/>
      <c r="R56" s="12" t="s">
        <v>14</v>
      </c>
      <c r="S56" s="12" t="s">
        <v>15</v>
      </c>
      <c r="T56" s="12" t="s">
        <v>11</v>
      </c>
      <c r="U56" s="12" t="s">
        <v>16</v>
      </c>
      <c r="V56" s="6"/>
      <c r="W56" s="11" t="s">
        <v>17</v>
      </c>
      <c r="X56" s="11" t="s">
        <v>18</v>
      </c>
      <c r="Y56" s="11" t="s">
        <v>19</v>
      </c>
      <c r="Z56" s="11" t="s">
        <v>20</v>
      </c>
      <c r="AA56" s="6"/>
    </row>
    <row r="57" ht="14.25" customHeight="1">
      <c r="A57" s="15" t="s">
        <v>113</v>
      </c>
      <c r="B57" s="14"/>
      <c r="C57" s="6"/>
      <c r="D57" s="15" t="s">
        <v>113</v>
      </c>
      <c r="E57" s="14"/>
      <c r="F57" s="6"/>
      <c r="G57" s="6"/>
      <c r="H57" s="6"/>
      <c r="I57" s="6"/>
      <c r="J57" s="6"/>
      <c r="K57" s="6"/>
      <c r="L57" s="6"/>
      <c r="M57" s="6"/>
      <c r="N57" s="15" t="s">
        <v>82</v>
      </c>
      <c r="O57" s="16">
        <f>COUNTIF($T$57:$T$67,N57)</f>
        <v>0</v>
      </c>
      <c r="P57" s="17" t="str">
        <f>AVERAGE(U57:U67)</f>
        <v>#DIV/0!</v>
      </c>
      <c r="Q57" s="6"/>
      <c r="R57" s="18"/>
      <c r="S57" s="19"/>
      <c r="T57" s="20"/>
      <c r="U57" s="21"/>
      <c r="V57" s="6"/>
      <c r="W57" s="18"/>
      <c r="X57" s="22"/>
      <c r="Y57" s="22"/>
      <c r="Z57" s="22"/>
      <c r="AA57" s="6"/>
    </row>
    <row r="58" ht="14.25" customHeight="1">
      <c r="A58" s="6"/>
      <c r="B58" s="23" t="str">
        <f>SUMPRODUCT(B55:B58)</f>
        <v>#REF!</v>
      </c>
      <c r="C58" s="6"/>
      <c r="E58" s="23" t="str">
        <f>SUMPRODUCT(E55:E58)</f>
        <v>#REF!</v>
      </c>
      <c r="F58" s="6"/>
      <c r="G58" s="6"/>
      <c r="H58" s="6"/>
      <c r="I58" s="6"/>
      <c r="J58" s="6"/>
      <c r="K58" s="6"/>
      <c r="L58" s="6"/>
      <c r="M58" s="6"/>
      <c r="N58" s="15"/>
      <c r="O58" s="16"/>
      <c r="P58" s="17"/>
      <c r="Q58" s="6"/>
      <c r="R58" s="18"/>
      <c r="S58" s="19"/>
      <c r="T58" s="20"/>
      <c r="U58" s="21"/>
      <c r="V58" s="6"/>
      <c r="W58" s="18"/>
      <c r="X58" s="14"/>
      <c r="Y58" s="14"/>
      <c r="Z58" s="14"/>
      <c r="AA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15"/>
      <c r="O59" s="16"/>
      <c r="P59" s="17"/>
      <c r="Q59" s="6"/>
      <c r="R59" s="18"/>
      <c r="S59" s="19"/>
      <c r="T59" s="20"/>
      <c r="U59" s="21"/>
      <c r="V59" s="6"/>
      <c r="W59" s="18"/>
      <c r="X59" s="14"/>
      <c r="Y59" s="14"/>
      <c r="Z59" s="14"/>
      <c r="AA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24" t="s">
        <v>29</v>
      </c>
      <c r="O60" s="25" t="str">
        <f>SUM(O57:O60)</f>
        <v>#REF!</v>
      </c>
      <c r="P60" s="26" t="str">
        <f>AVERAGE(P57:P59)</f>
        <v>#DIV/0!</v>
      </c>
      <c r="Q60" s="6"/>
      <c r="R60" s="18"/>
      <c r="S60" s="19"/>
      <c r="T60" s="20"/>
      <c r="U60" s="21"/>
      <c r="V60" s="6"/>
      <c r="W60" s="18"/>
      <c r="X60" s="14"/>
      <c r="Y60" s="14"/>
      <c r="Z60" s="14"/>
      <c r="AA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8"/>
      <c r="S61" s="19"/>
      <c r="T61" s="20"/>
      <c r="U61" s="21"/>
      <c r="V61" s="6"/>
      <c r="W61" s="18"/>
      <c r="X61" s="14"/>
      <c r="Y61" s="14"/>
      <c r="Z61" s="14"/>
      <c r="AA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8"/>
      <c r="S62" s="19"/>
      <c r="T62" s="20"/>
      <c r="U62" s="21"/>
      <c r="V62" s="6"/>
      <c r="W62" s="18"/>
      <c r="X62" s="14"/>
      <c r="Y62" s="14"/>
      <c r="Z62" s="14"/>
      <c r="AA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8"/>
      <c r="S63" s="19"/>
      <c r="T63" s="20"/>
      <c r="U63" s="21"/>
      <c r="V63" s="6"/>
      <c r="W63" s="18"/>
      <c r="X63" s="14"/>
      <c r="Y63" s="14"/>
      <c r="Z63" s="14"/>
      <c r="AA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8"/>
      <c r="S64" s="19"/>
      <c r="T64" s="65"/>
      <c r="U64" s="21"/>
      <c r="V64" s="6"/>
      <c r="W64" s="18"/>
      <c r="X64" s="14"/>
      <c r="Y64" s="14"/>
      <c r="Z64" s="14"/>
      <c r="AA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18"/>
      <c r="S65" s="19"/>
      <c r="T65" s="20"/>
      <c r="U65" s="21"/>
      <c r="V65" s="6"/>
      <c r="W65" s="18"/>
      <c r="X65" s="14"/>
      <c r="Y65" s="14"/>
      <c r="Z65" s="14"/>
      <c r="AA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18"/>
      <c r="S66" s="19"/>
      <c r="T66" s="20"/>
      <c r="U66" s="21"/>
      <c r="V66" s="6"/>
      <c r="W66" s="18"/>
      <c r="X66" s="14"/>
      <c r="Y66" s="14"/>
      <c r="Z66" s="14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18"/>
      <c r="S67" s="19"/>
      <c r="T67" s="20"/>
      <c r="U67" s="21"/>
      <c r="V67" s="6"/>
      <c r="W67" s="18"/>
      <c r="X67" s="14"/>
      <c r="Y67" s="14"/>
      <c r="Z67" s="14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34" t="s">
        <v>29</v>
      </c>
      <c r="X68" s="35">
        <f t="shared" ref="X68:Z68" si="16">SUM(X57:X67)</f>
        <v>0</v>
      </c>
      <c r="Y68" s="35">
        <f t="shared" si="16"/>
        <v>0</v>
      </c>
      <c r="Z68" s="35">
        <f t="shared" si="16"/>
        <v>0</v>
      </c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C1"/>
    <mergeCell ref="A3:D3"/>
    <mergeCell ref="A4:E4"/>
    <mergeCell ref="R4:Z4"/>
    <mergeCell ref="A5:E5"/>
    <mergeCell ref="G13:H13"/>
    <mergeCell ref="AB16:AE16"/>
    <mergeCell ref="G28:H28"/>
    <mergeCell ref="G47:H47"/>
    <mergeCell ref="A53:E53"/>
    <mergeCell ref="R54:Z54"/>
    <mergeCell ref="AB17:AE17"/>
    <mergeCell ref="R19:Z19"/>
    <mergeCell ref="A20:E20"/>
    <mergeCell ref="AB33:AE33"/>
    <mergeCell ref="AB34:AE34"/>
    <mergeCell ref="R37:Z37"/>
    <mergeCell ref="A38:E38"/>
  </mergeCells>
  <dataValidations>
    <dataValidation type="list" allowBlank="1" sqref="T7:T13 AB19:AB22 T22:T31 AB36:AB39 T40:T49 T57:T67">
      <formula1>"Goiânia"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14"/>
    <col customWidth="1" min="4" max="4" width="8.71"/>
    <col customWidth="1" min="5" max="5" width="10.57"/>
    <col customWidth="1" min="6" max="6" width="27.86"/>
    <col customWidth="1" min="7" max="7" width="8.71"/>
    <col customWidth="1" min="8" max="8" width="11.71"/>
    <col customWidth="1" min="9" max="9" width="3.57"/>
    <col customWidth="1" min="10" max="10" width="8.71"/>
    <col customWidth="1" min="11" max="11" width="11.43"/>
    <col customWidth="1" min="12" max="12" width="8.71"/>
    <col customWidth="1" min="13" max="13" width="3.29"/>
    <col customWidth="1" min="14" max="14" width="23.0"/>
    <col customWidth="1" min="15" max="15" width="8.71"/>
    <col customWidth="1" min="16" max="16" width="13.14"/>
    <col customWidth="1" min="17" max="17" width="3.57"/>
    <col customWidth="1" min="18" max="18" width="18.29"/>
    <col customWidth="1" min="19" max="19" width="6.57"/>
    <col customWidth="1" min="20" max="20" width="11.43"/>
    <col customWidth="1" min="21" max="21" width="14.14"/>
    <col customWidth="1" min="22" max="24" width="8.71"/>
    <col customWidth="1" min="25" max="25" width="11.57"/>
    <col customWidth="1" min="26" max="26" width="10.43"/>
    <col customWidth="1" min="27" max="30" width="8.71"/>
  </cols>
  <sheetData>
    <row r="1" ht="14.25" customHeight="1">
      <c r="A1" s="1" t="s">
        <v>114</v>
      </c>
      <c r="B1" s="2"/>
      <c r="C1" s="3"/>
    </row>
    <row r="2" ht="14.25" customHeight="1"/>
    <row r="3" ht="14.25" customHeight="1">
      <c r="A3" s="4" t="s">
        <v>1</v>
      </c>
      <c r="B3" s="2"/>
      <c r="C3" s="2"/>
      <c r="D3" s="2"/>
      <c r="E3" s="3"/>
      <c r="F3" s="4"/>
      <c r="G3" s="2"/>
      <c r="H3" s="2"/>
      <c r="I3" s="2"/>
      <c r="J3" s="3"/>
      <c r="K3" s="5"/>
      <c r="L3" s="5"/>
      <c r="M3" s="5"/>
      <c r="N3" s="5" t="s">
        <v>115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36.75" customHeight="1">
      <c r="A4" s="150" t="s">
        <v>116</v>
      </c>
      <c r="H4" s="6"/>
      <c r="I4" s="6"/>
      <c r="J4" s="6"/>
      <c r="K4" s="6"/>
      <c r="L4" s="6"/>
      <c r="M4" s="6"/>
      <c r="N4" s="6"/>
      <c r="O4" s="6"/>
      <c r="P4" s="6"/>
      <c r="Q4" s="8" t="s">
        <v>4</v>
      </c>
      <c r="Z4" s="6"/>
      <c r="AA4" s="6"/>
      <c r="AB4" s="6"/>
      <c r="AC4" s="6"/>
      <c r="AD4" s="6"/>
    </row>
    <row r="5" ht="14.25" customHeight="1">
      <c r="A5" s="8" t="s">
        <v>4</v>
      </c>
      <c r="F5" s="6"/>
      <c r="G5" s="6"/>
      <c r="H5" s="6"/>
      <c r="I5" s="6"/>
      <c r="J5" s="6"/>
      <c r="K5" s="6"/>
      <c r="L5" s="6"/>
      <c r="M5" s="6"/>
      <c r="N5" s="9" t="s">
        <v>5</v>
      </c>
      <c r="O5" s="9"/>
      <c r="P5" s="9"/>
      <c r="Q5" s="6"/>
      <c r="R5" s="10" t="s">
        <v>6</v>
      </c>
      <c r="S5" s="10"/>
      <c r="T5" s="10"/>
      <c r="U5" s="10"/>
      <c r="V5" s="6"/>
      <c r="W5" s="9" t="s">
        <v>7</v>
      </c>
      <c r="X5" s="9"/>
      <c r="Y5" s="9"/>
      <c r="Z5" s="9"/>
      <c r="AA5" s="6"/>
      <c r="AB5" s="6"/>
      <c r="AC5" s="6"/>
    </row>
    <row r="6" ht="15.0" customHeight="1">
      <c r="A6" s="11" t="s">
        <v>8</v>
      </c>
      <c r="B6" s="11" t="s">
        <v>9</v>
      </c>
      <c r="C6" s="6"/>
      <c r="D6" s="11" t="s">
        <v>8</v>
      </c>
      <c r="E6" s="11" t="s">
        <v>10</v>
      </c>
      <c r="F6" s="6"/>
      <c r="G6" s="6"/>
      <c r="H6" s="6"/>
      <c r="I6" s="6"/>
      <c r="J6" s="6"/>
      <c r="K6" s="6"/>
      <c r="L6" s="6"/>
      <c r="M6" s="6"/>
      <c r="N6" s="11" t="s">
        <v>11</v>
      </c>
      <c r="O6" s="11" t="s">
        <v>12</v>
      </c>
      <c r="P6" s="11" t="s">
        <v>13</v>
      </c>
      <c r="Q6" s="6"/>
      <c r="R6" s="12" t="s">
        <v>14</v>
      </c>
      <c r="S6" s="12" t="s">
        <v>15</v>
      </c>
      <c r="T6" s="12" t="s">
        <v>11</v>
      </c>
      <c r="U6" s="12" t="s">
        <v>16</v>
      </c>
      <c r="V6" s="6"/>
      <c r="W6" s="11" t="s">
        <v>17</v>
      </c>
      <c r="X6" s="11" t="s">
        <v>18</v>
      </c>
      <c r="Y6" s="11" t="s">
        <v>19</v>
      </c>
      <c r="Z6" s="11" t="s">
        <v>20</v>
      </c>
      <c r="AA6" s="6"/>
      <c r="AB6" s="6"/>
      <c r="AC6" s="6"/>
    </row>
    <row r="7" ht="14.25" customHeight="1">
      <c r="A7" s="13" t="s">
        <v>117</v>
      </c>
      <c r="B7" s="14">
        <v>0.0</v>
      </c>
      <c r="C7" s="6"/>
      <c r="D7" s="13" t="s">
        <v>117</v>
      </c>
      <c r="E7" s="14">
        <v>0.0</v>
      </c>
      <c r="F7" s="6"/>
      <c r="G7" s="6"/>
      <c r="H7" s="6"/>
      <c r="I7" s="6"/>
      <c r="J7" s="6"/>
      <c r="K7" s="6"/>
      <c r="L7" s="6"/>
      <c r="M7" s="6"/>
      <c r="N7" s="15" t="s">
        <v>118</v>
      </c>
      <c r="O7" s="16">
        <f>COUNTIF(T7:T14,N7)</f>
        <v>2</v>
      </c>
      <c r="P7" s="17">
        <f>AVERAGE(U7:U8)</f>
        <v>0.5767</v>
      </c>
      <c r="Q7" s="6"/>
      <c r="R7" s="18">
        <v>10404.0</v>
      </c>
      <c r="S7" s="19">
        <v>46268.0</v>
      </c>
      <c r="T7" s="20" t="s">
        <v>118</v>
      </c>
      <c r="U7" s="21">
        <v>0.7143</v>
      </c>
      <c r="V7" s="6"/>
      <c r="W7" s="18">
        <v>10404.0</v>
      </c>
      <c r="X7" s="14">
        <v>49231.0</v>
      </c>
      <c r="Y7" s="14">
        <v>9993.0</v>
      </c>
      <c r="Z7" s="14">
        <v>412.0</v>
      </c>
      <c r="AA7" s="6"/>
      <c r="AB7" s="6"/>
      <c r="AC7" s="6"/>
    </row>
    <row r="8" ht="14.25" customHeight="1">
      <c r="A8" s="15" t="s">
        <v>119</v>
      </c>
      <c r="B8" s="14">
        <v>6.0</v>
      </c>
      <c r="C8" s="6"/>
      <c r="D8" s="15" t="s">
        <v>119</v>
      </c>
      <c r="E8" s="14">
        <v>4.0</v>
      </c>
      <c r="F8" s="6"/>
      <c r="G8" s="6"/>
      <c r="H8" s="6"/>
      <c r="I8" s="6"/>
      <c r="J8" s="6"/>
      <c r="K8" s="6"/>
      <c r="L8" s="6"/>
      <c r="M8" s="6"/>
      <c r="N8" s="15" t="s">
        <v>120</v>
      </c>
      <c r="O8" s="16">
        <f>COUNTIF(T7:T14,N8)</f>
        <v>0</v>
      </c>
      <c r="P8" s="17"/>
      <c r="Q8" s="6"/>
      <c r="R8" s="18">
        <v>10409.0</v>
      </c>
      <c r="S8" s="19">
        <v>46269.0</v>
      </c>
      <c r="T8" s="20" t="s">
        <v>118</v>
      </c>
      <c r="U8" s="21">
        <v>0.4391</v>
      </c>
      <c r="V8" s="6"/>
      <c r="W8" s="18">
        <v>10409.0</v>
      </c>
      <c r="X8" s="14">
        <v>55269.0</v>
      </c>
      <c r="Y8" s="14">
        <v>8273.0</v>
      </c>
      <c r="Z8" s="14">
        <v>252.0</v>
      </c>
      <c r="AA8" s="6"/>
      <c r="AB8" s="6"/>
      <c r="AC8" s="6"/>
    </row>
    <row r="9" ht="14.25" customHeight="1">
      <c r="A9" s="15" t="s">
        <v>121</v>
      </c>
      <c r="B9" s="14">
        <v>5.0</v>
      </c>
      <c r="C9" s="6"/>
      <c r="D9" s="15" t="s">
        <v>121</v>
      </c>
      <c r="E9" s="14">
        <v>4.0</v>
      </c>
      <c r="F9" s="6"/>
      <c r="G9" s="6"/>
      <c r="H9" s="6"/>
      <c r="I9" s="6"/>
      <c r="J9" s="6"/>
      <c r="K9" s="6"/>
      <c r="L9" s="6"/>
      <c r="M9" s="6"/>
      <c r="N9" s="24" t="s">
        <v>29</v>
      </c>
      <c r="O9" s="25">
        <f>SUM(O7:O8)</f>
        <v>2</v>
      </c>
      <c r="P9" s="26" t="str">
        <f>AVERAGE(P7:P9)</f>
        <v>#REF!</v>
      </c>
      <c r="Q9" s="6"/>
      <c r="R9" s="18"/>
      <c r="S9" s="19"/>
      <c r="T9" s="20"/>
      <c r="U9" s="21"/>
      <c r="V9" s="6"/>
      <c r="W9" s="18"/>
      <c r="X9" s="14"/>
      <c r="Y9" s="14"/>
      <c r="Z9" s="14"/>
      <c r="AA9" s="6"/>
      <c r="AB9" s="6"/>
      <c r="AC9" s="6"/>
    </row>
    <row r="10" ht="14.25" customHeight="1">
      <c r="A10" s="15" t="s">
        <v>122</v>
      </c>
      <c r="B10" s="14">
        <v>1.0</v>
      </c>
      <c r="C10" s="6"/>
      <c r="D10" s="15" t="s">
        <v>122</v>
      </c>
      <c r="E10" s="14">
        <v>1.0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46"/>
      <c r="S10" s="147"/>
      <c r="T10" s="148"/>
      <c r="U10" s="149"/>
      <c r="V10" s="6"/>
      <c r="W10" s="18"/>
      <c r="X10" s="14"/>
      <c r="Y10" s="14"/>
      <c r="Z10" s="14"/>
      <c r="AA10" s="6"/>
      <c r="AB10" s="6"/>
      <c r="AC10" s="6"/>
    </row>
    <row r="11" ht="14.25" customHeight="1">
      <c r="A11" s="65" t="s">
        <v>123</v>
      </c>
      <c r="B11" s="14">
        <v>8.0</v>
      </c>
      <c r="C11" s="6"/>
      <c r="D11" s="65" t="s">
        <v>123</v>
      </c>
      <c r="E11" s="14">
        <v>6.0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46"/>
      <c r="S11" s="147"/>
      <c r="T11" s="148"/>
      <c r="U11" s="149"/>
      <c r="V11" s="6"/>
      <c r="W11" s="18"/>
      <c r="X11" s="14"/>
      <c r="Y11" s="14"/>
      <c r="Z11" s="14"/>
      <c r="AA11" s="6"/>
      <c r="AB11" s="6"/>
      <c r="AC11" s="6"/>
    </row>
    <row r="12" ht="14.25" customHeight="1">
      <c r="A12" s="13" t="s">
        <v>124</v>
      </c>
      <c r="B12" s="14">
        <v>2.0</v>
      </c>
      <c r="C12" s="6"/>
      <c r="D12" s="13" t="s">
        <v>124</v>
      </c>
      <c r="E12" s="14">
        <v>2.0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8"/>
      <c r="S12" s="19"/>
      <c r="T12" s="20"/>
      <c r="U12" s="21"/>
      <c r="V12" s="6"/>
      <c r="W12" s="18"/>
      <c r="X12" s="14"/>
      <c r="Y12" s="14"/>
      <c r="Z12" s="14"/>
      <c r="AA12" s="6"/>
      <c r="AB12" s="6"/>
      <c r="AC12" s="6"/>
    </row>
    <row r="13" ht="14.25" customHeight="1">
      <c r="A13" s="13" t="s">
        <v>125</v>
      </c>
      <c r="B13" s="14">
        <v>5.0</v>
      </c>
      <c r="C13" s="6"/>
      <c r="D13" s="13" t="s">
        <v>125</v>
      </c>
      <c r="E13" s="14">
        <v>3.0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03"/>
      <c r="S13" s="104"/>
      <c r="T13" s="65"/>
      <c r="U13" s="105"/>
      <c r="V13" s="6"/>
      <c r="W13" s="18"/>
      <c r="X13" s="14"/>
      <c r="Y13" s="14"/>
      <c r="Z13" s="14"/>
      <c r="AA13" s="6"/>
      <c r="AB13" s="6"/>
      <c r="AC13" s="6"/>
    </row>
    <row r="14" ht="14.25" customHeight="1">
      <c r="A14" s="13" t="s">
        <v>126</v>
      </c>
      <c r="B14" s="14">
        <v>8.0</v>
      </c>
      <c r="C14" s="6"/>
      <c r="D14" s="13" t="s">
        <v>126</v>
      </c>
      <c r="E14" s="14">
        <v>7.0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8"/>
      <c r="S14" s="19"/>
      <c r="T14" s="20"/>
      <c r="U14" s="21"/>
      <c r="V14" s="6"/>
      <c r="W14" s="18"/>
      <c r="X14" s="14"/>
      <c r="Y14" s="14"/>
      <c r="Z14" s="14"/>
      <c r="AA14" s="6"/>
      <c r="AB14" s="6"/>
      <c r="AC14" s="6"/>
    </row>
    <row r="15" ht="12.75" customHeight="1">
      <c r="A15" s="13" t="s">
        <v>127</v>
      </c>
      <c r="B15" s="14">
        <v>9.0</v>
      </c>
      <c r="C15" s="6"/>
      <c r="D15" s="13" t="s">
        <v>127</v>
      </c>
      <c r="E15" s="14">
        <v>6.0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8"/>
      <c r="X15" s="14"/>
      <c r="Y15" s="14"/>
      <c r="Z15" s="14"/>
      <c r="AA15" s="6"/>
      <c r="AB15" s="6"/>
      <c r="AC15" s="6"/>
    </row>
    <row r="16" ht="14.25" customHeight="1">
      <c r="A16" s="13" t="s">
        <v>128</v>
      </c>
      <c r="B16" s="14">
        <v>75.0</v>
      </c>
      <c r="C16" s="6"/>
      <c r="D16" s="13" t="s">
        <v>128</v>
      </c>
      <c r="E16" s="14">
        <v>67.0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34" t="s">
        <v>29</v>
      </c>
      <c r="X16" s="35">
        <f t="shared" ref="X16:Z16" si="1">SUM(X7:X15)</f>
        <v>104500</v>
      </c>
      <c r="Y16" s="35">
        <f t="shared" si="1"/>
        <v>18266</v>
      </c>
      <c r="Z16" s="35">
        <f t="shared" si="1"/>
        <v>664</v>
      </c>
      <c r="AA16" s="6"/>
      <c r="AB16" s="6"/>
      <c r="AC16" s="6"/>
    </row>
    <row r="17" ht="14.25" customHeight="1">
      <c r="A17" s="13" t="s">
        <v>60</v>
      </c>
      <c r="B17" s="22">
        <v>86.0</v>
      </c>
      <c r="C17" s="6"/>
      <c r="D17" s="13" t="s">
        <v>60</v>
      </c>
      <c r="E17" s="14">
        <v>91.0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4.25" customHeight="1">
      <c r="A18" s="13" t="s">
        <v>129</v>
      </c>
      <c r="B18" s="14">
        <v>5.0</v>
      </c>
      <c r="C18" s="6"/>
      <c r="D18" s="13" t="s">
        <v>129</v>
      </c>
      <c r="E18" s="14">
        <v>4.0</v>
      </c>
      <c r="F18" s="6"/>
      <c r="G18" s="29" t="s">
        <v>30</v>
      </c>
      <c r="H18" s="29"/>
      <c r="I18" s="6"/>
      <c r="J18" s="29" t="s">
        <v>30</v>
      </c>
      <c r="K18" s="2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4.25" customHeight="1">
      <c r="A19" s="13" t="s">
        <v>130</v>
      </c>
      <c r="B19" s="14">
        <v>16.0</v>
      </c>
      <c r="C19" s="6"/>
      <c r="D19" s="13" t="s">
        <v>130</v>
      </c>
      <c r="E19" s="14">
        <v>14.0</v>
      </c>
      <c r="F19" s="6"/>
      <c r="G19" s="12" t="s">
        <v>8</v>
      </c>
      <c r="H19" s="12" t="s">
        <v>9</v>
      </c>
      <c r="I19" s="6"/>
      <c r="J19" s="12" t="s">
        <v>8</v>
      </c>
      <c r="K19" s="12" t="s">
        <v>10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4.25" customHeight="1">
      <c r="A20" s="13" t="s">
        <v>131</v>
      </c>
      <c r="B20" s="14">
        <v>90.0</v>
      </c>
      <c r="C20" s="6"/>
      <c r="D20" s="13" t="s">
        <v>131</v>
      </c>
      <c r="E20" s="14">
        <v>84.0</v>
      </c>
      <c r="F20" s="6"/>
      <c r="G20" s="13" t="s">
        <v>117</v>
      </c>
      <c r="H20" s="152" t="str">
        <f t="shared" ref="H20:H36" si="2">IFERROR((B40-B7)/B7,"")</f>
        <v/>
      </c>
      <c r="I20" s="6"/>
      <c r="J20" s="13" t="s">
        <v>117</v>
      </c>
      <c r="K20" s="152" t="str">
        <f t="shared" ref="K20:K36" si="3">IFERROR((E40-E7)/E7,"")</f>
        <v/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4.25" customHeight="1">
      <c r="A21" s="13" t="s">
        <v>132</v>
      </c>
      <c r="B21" s="14">
        <v>21.0</v>
      </c>
      <c r="C21" s="6"/>
      <c r="D21" s="13" t="s">
        <v>132</v>
      </c>
      <c r="E21" s="14">
        <v>21.0</v>
      </c>
      <c r="F21" s="6"/>
      <c r="G21" s="15" t="s">
        <v>119</v>
      </c>
      <c r="H21" s="152">
        <f t="shared" si="2"/>
        <v>-0.1666666667</v>
      </c>
      <c r="I21" s="6"/>
      <c r="J21" s="15" t="s">
        <v>119</v>
      </c>
      <c r="K21" s="152">
        <f t="shared" si="3"/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4.25" customHeight="1">
      <c r="A22" s="13" t="s">
        <v>133</v>
      </c>
      <c r="B22" s="14">
        <v>14.0</v>
      </c>
      <c r="C22" s="6"/>
      <c r="D22" s="13" t="s">
        <v>133</v>
      </c>
      <c r="E22" s="14">
        <v>12.0</v>
      </c>
      <c r="F22" s="6"/>
      <c r="G22" s="15" t="s">
        <v>121</v>
      </c>
      <c r="H22" s="152">
        <f t="shared" si="2"/>
        <v>-0.8</v>
      </c>
      <c r="I22" s="6"/>
      <c r="J22" s="15" t="s">
        <v>121</v>
      </c>
      <c r="K22" s="152">
        <f t="shared" si="3"/>
        <v>-0.5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4.25" customHeight="1">
      <c r="B23" s="23">
        <f>SUMPRODUCT(B7:B22)</f>
        <v>351</v>
      </c>
      <c r="C23" s="6"/>
      <c r="E23" s="23">
        <f>SUMPRODUCT(E7:E22)</f>
        <v>326</v>
      </c>
      <c r="F23" s="6"/>
      <c r="G23" s="15" t="s">
        <v>122</v>
      </c>
      <c r="H23" s="152">
        <f t="shared" si="2"/>
        <v>-1</v>
      </c>
      <c r="I23" s="6"/>
      <c r="J23" s="15" t="s">
        <v>122</v>
      </c>
      <c r="K23" s="152">
        <f t="shared" si="3"/>
        <v>-1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4.25" customHeight="1">
      <c r="A24" s="6"/>
      <c r="B24" s="6"/>
      <c r="C24" s="6"/>
      <c r="D24" s="6"/>
      <c r="E24" s="6"/>
      <c r="F24" s="6"/>
      <c r="G24" s="65" t="s">
        <v>123</v>
      </c>
      <c r="H24" s="152">
        <f t="shared" si="2"/>
        <v>0.375</v>
      </c>
      <c r="J24" s="65" t="s">
        <v>123</v>
      </c>
      <c r="K24" s="152">
        <f t="shared" si="3"/>
        <v>0.5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4.25" customHeight="1">
      <c r="A25" s="6"/>
      <c r="B25" s="6"/>
      <c r="C25" s="6"/>
      <c r="D25" s="6"/>
      <c r="E25" s="6"/>
      <c r="F25" s="6"/>
      <c r="G25" s="13" t="s">
        <v>124</v>
      </c>
      <c r="H25" s="152">
        <f t="shared" si="2"/>
        <v>-0.5</v>
      </c>
      <c r="I25" s="6"/>
      <c r="J25" s="13" t="s">
        <v>124</v>
      </c>
      <c r="K25" s="152">
        <f t="shared" si="3"/>
        <v>0</v>
      </c>
      <c r="L25" s="6"/>
      <c r="M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4.25" customHeight="1">
      <c r="A26" s="6"/>
      <c r="B26" s="6"/>
      <c r="C26" s="6"/>
      <c r="D26" s="6"/>
      <c r="E26" s="6"/>
      <c r="F26" s="6"/>
      <c r="G26" s="13" t="s">
        <v>125</v>
      </c>
      <c r="H26" s="152">
        <f t="shared" si="2"/>
        <v>-0.2</v>
      </c>
      <c r="I26" s="6"/>
      <c r="J26" s="13" t="s">
        <v>125</v>
      </c>
      <c r="K26" s="152">
        <f t="shared" si="3"/>
        <v>0</v>
      </c>
      <c r="L26" s="6"/>
      <c r="M26" s="6"/>
      <c r="N26" s="6"/>
      <c r="O26" s="6"/>
      <c r="P26" s="6"/>
      <c r="Q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4.25" customHeight="1">
      <c r="A27" s="6"/>
      <c r="B27" s="6"/>
      <c r="C27" s="6"/>
      <c r="D27" s="6"/>
      <c r="E27" s="6"/>
      <c r="F27" s="6"/>
      <c r="G27" s="13" t="s">
        <v>126</v>
      </c>
      <c r="H27" s="152">
        <f t="shared" si="2"/>
        <v>0.625</v>
      </c>
      <c r="I27" s="6"/>
      <c r="J27" s="13" t="s">
        <v>126</v>
      </c>
      <c r="K27" s="152">
        <f t="shared" si="3"/>
        <v>-0.2857142857</v>
      </c>
      <c r="L27" s="6"/>
      <c r="M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4.25" customHeight="1">
      <c r="A28" s="6"/>
      <c r="B28" s="6"/>
      <c r="C28" s="6"/>
      <c r="D28" s="6"/>
      <c r="E28" s="6"/>
      <c r="F28" s="6"/>
      <c r="G28" s="13" t="s">
        <v>127</v>
      </c>
      <c r="H28" s="152">
        <f t="shared" si="2"/>
        <v>0.1111111111</v>
      </c>
      <c r="I28" s="6"/>
      <c r="J28" s="13" t="s">
        <v>127</v>
      </c>
      <c r="K28" s="152">
        <f t="shared" si="3"/>
        <v>0.6666666667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Z28" s="6"/>
      <c r="AA28" s="6"/>
      <c r="AB28" s="6"/>
      <c r="AC28" s="6"/>
      <c r="AD28" s="6"/>
    </row>
    <row r="29" ht="14.25" customHeight="1">
      <c r="A29" s="6"/>
      <c r="B29" s="6"/>
      <c r="C29" s="6"/>
      <c r="D29" s="6"/>
      <c r="E29" s="6"/>
      <c r="F29" s="6"/>
      <c r="G29" s="13" t="s">
        <v>128</v>
      </c>
      <c r="H29" s="152">
        <f t="shared" si="2"/>
        <v>-0.3066666667</v>
      </c>
      <c r="I29" s="6"/>
      <c r="J29" s="13" t="s">
        <v>128</v>
      </c>
      <c r="K29" s="152">
        <f t="shared" si="3"/>
        <v>-0.1791044776</v>
      </c>
      <c r="L29" s="6"/>
      <c r="M29" s="6"/>
      <c r="N29" s="6"/>
      <c r="O29" s="6"/>
      <c r="P29" s="6"/>
      <c r="Q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4.25" customHeight="1">
      <c r="A30" s="6"/>
      <c r="B30" s="6"/>
      <c r="C30" s="6"/>
      <c r="D30" s="6"/>
      <c r="E30" s="6"/>
      <c r="F30" s="6"/>
      <c r="G30" s="13" t="s">
        <v>60</v>
      </c>
      <c r="H30" s="152">
        <f t="shared" si="2"/>
        <v>0.03488372093</v>
      </c>
      <c r="I30" s="6"/>
      <c r="J30" s="13" t="s">
        <v>60</v>
      </c>
      <c r="K30" s="152">
        <f t="shared" si="3"/>
        <v>0.02197802198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4.25" customHeight="1">
      <c r="A31" s="6"/>
      <c r="B31" s="6"/>
      <c r="C31" s="6"/>
      <c r="D31" s="6"/>
      <c r="E31" s="6"/>
      <c r="F31" s="6"/>
      <c r="G31" s="13" t="s">
        <v>129</v>
      </c>
      <c r="H31" s="152">
        <f t="shared" si="2"/>
        <v>0.2</v>
      </c>
      <c r="I31" s="6"/>
      <c r="J31" s="13" t="s">
        <v>129</v>
      </c>
      <c r="K31" s="152">
        <f t="shared" si="3"/>
        <v>0.25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4.25" customHeight="1">
      <c r="A32" s="6"/>
      <c r="B32" s="6"/>
      <c r="C32" s="6"/>
      <c r="D32" s="6"/>
      <c r="E32" s="6"/>
      <c r="F32" s="6"/>
      <c r="G32" s="13" t="s">
        <v>130</v>
      </c>
      <c r="H32" s="152">
        <f t="shared" si="2"/>
        <v>0.6875</v>
      </c>
      <c r="I32" s="6"/>
      <c r="J32" s="13" t="s">
        <v>130</v>
      </c>
      <c r="K32" s="152">
        <f t="shared" si="3"/>
        <v>0.7857142857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4.25" customHeight="1">
      <c r="A33" s="6"/>
      <c r="B33" s="6"/>
      <c r="C33" s="6"/>
      <c r="D33" s="6"/>
      <c r="E33" s="6"/>
      <c r="F33" s="6"/>
      <c r="G33" s="13" t="s">
        <v>131</v>
      </c>
      <c r="H33" s="152">
        <f t="shared" si="2"/>
        <v>0.1333333333</v>
      </c>
      <c r="I33" s="6"/>
      <c r="J33" s="13" t="s">
        <v>131</v>
      </c>
      <c r="K33" s="152">
        <f t="shared" si="3"/>
        <v>0.0119047619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4.25" customHeight="1">
      <c r="A34" s="6"/>
      <c r="B34" s="6"/>
      <c r="C34" s="6"/>
      <c r="D34" s="6"/>
      <c r="E34" s="6"/>
      <c r="F34" s="6"/>
      <c r="G34" s="13" t="s">
        <v>132</v>
      </c>
      <c r="H34" s="152">
        <f t="shared" si="2"/>
        <v>-0.4285714286</v>
      </c>
      <c r="I34" s="6"/>
      <c r="J34" s="13" t="s">
        <v>132</v>
      </c>
      <c r="K34" s="152">
        <f t="shared" si="3"/>
        <v>-0.4761904762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4.25" customHeight="1">
      <c r="A35" s="6"/>
      <c r="B35" s="6"/>
      <c r="C35" s="6"/>
      <c r="D35" s="6"/>
      <c r="E35" s="6"/>
      <c r="F35" s="6"/>
      <c r="G35" s="13" t="s">
        <v>133</v>
      </c>
      <c r="H35" s="152">
        <f t="shared" si="2"/>
        <v>0.7142857143</v>
      </c>
      <c r="I35" s="6"/>
      <c r="J35" s="13" t="s">
        <v>133</v>
      </c>
      <c r="K35" s="152">
        <f t="shared" si="3"/>
        <v>0.6666666667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4.25" customHeight="1">
      <c r="A36" s="6"/>
      <c r="B36" s="6"/>
      <c r="C36" s="6"/>
      <c r="D36" s="6"/>
      <c r="E36" s="6"/>
      <c r="F36" s="6"/>
      <c r="G36" s="38" t="s">
        <v>32</v>
      </c>
      <c r="H36" s="152">
        <f t="shared" si="2"/>
        <v>0.01709401709</v>
      </c>
      <c r="I36" s="6"/>
      <c r="J36" s="38" t="s">
        <v>32</v>
      </c>
      <c r="K36" s="152">
        <f t="shared" si="3"/>
        <v>0.009202453988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8" t="s">
        <v>47</v>
      </c>
      <c r="AA37" s="6"/>
      <c r="AB37" s="6"/>
      <c r="AC37" s="6"/>
    </row>
    <row r="38" ht="14.25" customHeight="1">
      <c r="A38" s="48" t="s">
        <v>36</v>
      </c>
      <c r="B38" s="2"/>
      <c r="C38" s="2"/>
      <c r="D38" s="2"/>
      <c r="E38" s="3"/>
      <c r="F38" s="6"/>
      <c r="G38" s="6"/>
      <c r="H38" s="6"/>
      <c r="I38" s="6"/>
      <c r="J38" s="6"/>
      <c r="K38" s="6"/>
      <c r="L38" s="6"/>
      <c r="M38" s="6"/>
      <c r="N38" s="9" t="s">
        <v>5</v>
      </c>
      <c r="O38" s="9"/>
      <c r="P38" s="9"/>
      <c r="Q38" s="6"/>
      <c r="R38" s="10" t="s">
        <v>6</v>
      </c>
      <c r="S38" s="10"/>
      <c r="T38" s="10"/>
      <c r="U38" s="10"/>
      <c r="V38" s="6"/>
      <c r="W38" s="9" t="s">
        <v>7</v>
      </c>
      <c r="X38" s="9"/>
      <c r="Y38" s="9"/>
      <c r="Z38" s="9"/>
      <c r="AA38" s="6"/>
      <c r="AB38" s="6"/>
      <c r="AC38" s="6"/>
    </row>
    <row r="39" ht="17.25" customHeight="1">
      <c r="A39" s="11" t="s">
        <v>8</v>
      </c>
      <c r="B39" s="11" t="s">
        <v>9</v>
      </c>
      <c r="C39" s="6"/>
      <c r="D39" s="11" t="s">
        <v>8</v>
      </c>
      <c r="E39" s="11" t="s">
        <v>10</v>
      </c>
      <c r="F39" s="6"/>
      <c r="G39" s="6"/>
      <c r="H39" s="6"/>
      <c r="I39" s="6"/>
      <c r="J39" s="6"/>
      <c r="K39" s="6"/>
      <c r="L39" s="6"/>
      <c r="M39" s="6"/>
      <c r="N39" s="11" t="s">
        <v>11</v>
      </c>
      <c r="O39" s="11" t="s">
        <v>12</v>
      </c>
      <c r="P39" s="11" t="s">
        <v>13</v>
      </c>
      <c r="Q39" s="6"/>
      <c r="R39" s="12" t="s">
        <v>14</v>
      </c>
      <c r="S39" s="12" t="s">
        <v>15</v>
      </c>
      <c r="T39" s="12" t="s">
        <v>11</v>
      </c>
      <c r="U39" s="12" t="s">
        <v>16</v>
      </c>
      <c r="V39" s="6"/>
      <c r="W39" s="11" t="s">
        <v>17</v>
      </c>
      <c r="X39" s="11" t="s">
        <v>18</v>
      </c>
      <c r="Y39" s="11" t="s">
        <v>19</v>
      </c>
      <c r="Z39" s="11" t="s">
        <v>20</v>
      </c>
      <c r="AA39" s="6"/>
      <c r="AB39" s="6"/>
      <c r="AC39" s="6"/>
    </row>
    <row r="40" ht="14.25" customHeight="1">
      <c r="A40" s="13" t="s">
        <v>117</v>
      </c>
      <c r="B40" s="14">
        <v>0.0</v>
      </c>
      <c r="C40" s="6"/>
      <c r="D40" s="13" t="s">
        <v>117</v>
      </c>
      <c r="E40" s="14">
        <v>0.0</v>
      </c>
      <c r="F40" s="6"/>
      <c r="G40" s="6"/>
      <c r="I40" s="6"/>
      <c r="J40" s="6"/>
      <c r="K40" s="6"/>
      <c r="L40" s="6"/>
      <c r="M40" s="6"/>
      <c r="N40" s="15" t="s">
        <v>118</v>
      </c>
      <c r="O40" s="16">
        <f>COUNTIF(T40:T50,N40)</f>
        <v>2</v>
      </c>
      <c r="P40" s="17">
        <f>AVERAGE(U41:U42)</f>
        <v>0.5535</v>
      </c>
      <c r="Q40" s="6"/>
      <c r="R40" s="18">
        <v>10416.0</v>
      </c>
      <c r="S40" s="19">
        <v>46274.0</v>
      </c>
      <c r="T40" s="20" t="s">
        <v>120</v>
      </c>
      <c r="U40" s="21">
        <v>0.716</v>
      </c>
      <c r="V40" s="6"/>
      <c r="W40" s="18">
        <v>10416.0</v>
      </c>
      <c r="X40" s="22">
        <v>32180.0</v>
      </c>
      <c r="Y40" s="22">
        <v>4957.0</v>
      </c>
      <c r="Z40" s="22">
        <v>121.0</v>
      </c>
      <c r="AA40" s="6"/>
      <c r="AB40" s="6"/>
      <c r="AC40" s="6"/>
    </row>
    <row r="41" ht="14.25" customHeight="1">
      <c r="A41" s="15" t="s">
        <v>119</v>
      </c>
      <c r="B41" s="14">
        <v>5.0</v>
      </c>
      <c r="C41" s="6"/>
      <c r="D41" s="15" t="s">
        <v>119</v>
      </c>
      <c r="E41" s="14">
        <v>4.0</v>
      </c>
      <c r="F41" s="6"/>
      <c r="G41" s="6"/>
      <c r="H41" s="6"/>
      <c r="I41" s="6"/>
      <c r="J41" s="6"/>
      <c r="K41" s="6"/>
      <c r="L41" s="6"/>
      <c r="M41" s="6"/>
      <c r="N41" s="15" t="s">
        <v>120</v>
      </c>
      <c r="O41" s="16">
        <f>COUNTIF(T40:T50,N41)</f>
        <v>1</v>
      </c>
      <c r="P41" s="17">
        <f>U40</f>
        <v>0.716</v>
      </c>
      <c r="Q41" s="6"/>
      <c r="R41" s="18">
        <v>10422.0</v>
      </c>
      <c r="S41" s="19">
        <v>46275.0</v>
      </c>
      <c r="T41" s="20" t="s">
        <v>118</v>
      </c>
      <c r="U41" s="21">
        <v>0.6477</v>
      </c>
      <c r="V41" s="6"/>
      <c r="W41" s="18">
        <v>10422.0</v>
      </c>
      <c r="X41" s="22">
        <v>47980.0</v>
      </c>
      <c r="Y41" s="22">
        <v>6810.0</v>
      </c>
      <c r="Z41" s="22">
        <v>241.0</v>
      </c>
      <c r="AA41" s="6"/>
      <c r="AB41" s="6"/>
      <c r="AC41" s="6"/>
    </row>
    <row r="42" ht="14.25" customHeight="1">
      <c r="A42" s="15" t="s">
        <v>121</v>
      </c>
      <c r="B42" s="14">
        <v>1.0</v>
      </c>
      <c r="C42" s="6"/>
      <c r="D42" s="15" t="s">
        <v>121</v>
      </c>
      <c r="E42" s="14">
        <v>2.0</v>
      </c>
      <c r="F42" s="6"/>
      <c r="G42" s="6"/>
      <c r="H42" s="6"/>
      <c r="J42" s="6"/>
      <c r="K42" s="6"/>
      <c r="L42" s="6"/>
      <c r="M42" s="6"/>
      <c r="N42" s="24" t="s">
        <v>29</v>
      </c>
      <c r="O42" s="25">
        <f>SUM(O40:O41)</f>
        <v>3</v>
      </c>
      <c r="P42" s="26" t="str">
        <f>AVERAGE(P40:P42)</f>
        <v>#REF!</v>
      </c>
      <c r="Q42" s="6"/>
      <c r="R42" s="18">
        <v>10426.0</v>
      </c>
      <c r="S42" s="19">
        <v>46276.0</v>
      </c>
      <c r="T42" s="20" t="s">
        <v>118</v>
      </c>
      <c r="U42" s="21">
        <v>0.4593</v>
      </c>
      <c r="V42" s="6"/>
      <c r="W42" s="18">
        <v>10426.0</v>
      </c>
      <c r="X42" s="14">
        <v>40951.0</v>
      </c>
      <c r="Y42" s="14">
        <v>6723.0</v>
      </c>
      <c r="Z42" s="14">
        <v>113.0</v>
      </c>
      <c r="AA42" s="6"/>
      <c r="AB42" s="6"/>
      <c r="AC42" s="6"/>
    </row>
    <row r="43" ht="14.25" customHeight="1">
      <c r="A43" s="15" t="s">
        <v>122</v>
      </c>
      <c r="B43" s="14">
        <v>0.0</v>
      </c>
      <c r="C43" s="6"/>
      <c r="D43" s="15" t="s">
        <v>122</v>
      </c>
      <c r="E43" s="14">
        <v>0.0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8"/>
      <c r="S43" s="19"/>
      <c r="T43" s="20"/>
      <c r="U43" s="21"/>
      <c r="V43" s="6"/>
      <c r="W43" s="18"/>
      <c r="X43" s="14"/>
      <c r="Y43" s="14"/>
      <c r="Z43" s="14"/>
      <c r="AA43" s="6"/>
      <c r="AB43" s="6"/>
      <c r="AC43" s="6"/>
    </row>
    <row r="44" ht="14.25" customHeight="1">
      <c r="A44" s="65" t="s">
        <v>123</v>
      </c>
      <c r="B44" s="14">
        <v>11.0</v>
      </c>
      <c r="C44" s="6"/>
      <c r="D44" s="65" t="s">
        <v>123</v>
      </c>
      <c r="E44" s="14">
        <v>9.0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8"/>
      <c r="S44" s="19"/>
      <c r="T44" s="20"/>
      <c r="U44" s="21"/>
      <c r="V44" s="6"/>
      <c r="W44" s="18"/>
      <c r="X44" s="14"/>
      <c r="Y44" s="14"/>
      <c r="Z44" s="14"/>
      <c r="AA44" s="6"/>
      <c r="AB44" s="6"/>
      <c r="AC44" s="6"/>
    </row>
    <row r="45" ht="14.25" customHeight="1">
      <c r="A45" s="13" t="s">
        <v>124</v>
      </c>
      <c r="B45" s="14">
        <v>1.0</v>
      </c>
      <c r="C45" s="6"/>
      <c r="D45" s="13" t="s">
        <v>124</v>
      </c>
      <c r="E45" s="14">
        <v>2.0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8"/>
      <c r="S45" s="19"/>
      <c r="T45" s="20"/>
      <c r="U45" s="21"/>
      <c r="V45" s="6"/>
      <c r="W45" s="18"/>
      <c r="X45" s="14"/>
      <c r="Y45" s="14"/>
      <c r="Z45" s="14"/>
      <c r="AA45" s="6"/>
      <c r="AB45" s="6"/>
      <c r="AC45" s="6"/>
    </row>
    <row r="46" ht="14.25" customHeight="1">
      <c r="A46" s="13" t="s">
        <v>125</v>
      </c>
      <c r="B46" s="14">
        <v>4.0</v>
      </c>
      <c r="C46" s="6"/>
      <c r="D46" s="13" t="s">
        <v>125</v>
      </c>
      <c r="E46" s="14">
        <v>3.0</v>
      </c>
      <c r="F46" s="6"/>
      <c r="G46" s="6"/>
      <c r="H46" s="6"/>
      <c r="I46" s="6"/>
      <c r="J46" s="6"/>
      <c r="K46" s="6"/>
      <c r="L46" s="6"/>
      <c r="M46" s="6"/>
      <c r="O46" s="6"/>
      <c r="P46" s="6"/>
      <c r="Q46" s="6"/>
      <c r="R46" s="18"/>
      <c r="S46" s="19"/>
      <c r="T46" s="20"/>
      <c r="U46" s="21"/>
      <c r="V46" s="6"/>
      <c r="W46" s="18"/>
      <c r="X46" s="14"/>
      <c r="Y46" s="14"/>
      <c r="Z46" s="14"/>
      <c r="AA46" s="6"/>
      <c r="AB46" s="6"/>
      <c r="AC46" s="6"/>
    </row>
    <row r="47" ht="14.25" customHeight="1">
      <c r="A47" s="13" t="s">
        <v>126</v>
      </c>
      <c r="B47" s="14">
        <v>13.0</v>
      </c>
      <c r="C47" s="6"/>
      <c r="D47" s="13" t="s">
        <v>126</v>
      </c>
      <c r="E47" s="14">
        <v>5.0</v>
      </c>
      <c r="F47" s="6"/>
      <c r="G47" s="29" t="s">
        <v>30</v>
      </c>
      <c r="H47" s="29"/>
      <c r="I47" s="6"/>
      <c r="J47" s="29" t="s">
        <v>30</v>
      </c>
      <c r="K47" s="29"/>
      <c r="L47" s="6"/>
      <c r="M47" s="6"/>
      <c r="N47" s="6"/>
      <c r="O47" s="6"/>
      <c r="P47" s="6"/>
      <c r="Q47" s="6"/>
      <c r="R47" s="18"/>
      <c r="S47" s="19"/>
      <c r="T47" s="65"/>
      <c r="U47" s="21"/>
      <c r="V47" s="6"/>
      <c r="W47" s="18"/>
      <c r="X47" s="14"/>
      <c r="Y47" s="14"/>
      <c r="Z47" s="14"/>
      <c r="AA47" s="6"/>
      <c r="AB47" s="6"/>
      <c r="AC47" s="6"/>
    </row>
    <row r="48" ht="17.25" customHeight="1">
      <c r="A48" s="13" t="s">
        <v>127</v>
      </c>
      <c r="B48" s="14">
        <v>10.0</v>
      </c>
      <c r="C48" s="6"/>
      <c r="D48" s="13" t="s">
        <v>127</v>
      </c>
      <c r="E48" s="14">
        <v>10.0</v>
      </c>
      <c r="F48" s="6"/>
      <c r="G48" s="12" t="s">
        <v>8</v>
      </c>
      <c r="H48" s="12" t="s">
        <v>9</v>
      </c>
      <c r="I48" s="6"/>
      <c r="J48" s="12" t="s">
        <v>8</v>
      </c>
      <c r="K48" s="12" t="s">
        <v>10</v>
      </c>
      <c r="L48" s="6"/>
      <c r="M48" s="6"/>
      <c r="N48" s="6"/>
      <c r="O48" s="6"/>
      <c r="P48" s="6"/>
      <c r="Q48" s="6"/>
      <c r="R48" s="18"/>
      <c r="S48" s="19"/>
      <c r="T48" s="20"/>
      <c r="U48" s="21"/>
      <c r="V48" s="6"/>
      <c r="W48" s="18"/>
      <c r="X48" s="14"/>
      <c r="Y48" s="14"/>
      <c r="Z48" s="14"/>
      <c r="AA48" s="6"/>
      <c r="AB48" s="6"/>
      <c r="AC48" s="6"/>
    </row>
    <row r="49" ht="14.25" customHeight="1">
      <c r="A49" s="13" t="s">
        <v>128</v>
      </c>
      <c r="B49" s="14">
        <v>52.0</v>
      </c>
      <c r="C49" s="6"/>
      <c r="D49" s="13" t="s">
        <v>128</v>
      </c>
      <c r="E49" s="14">
        <v>55.0</v>
      </c>
      <c r="F49" s="6"/>
      <c r="G49" s="13" t="s">
        <v>117</v>
      </c>
      <c r="H49" s="14"/>
      <c r="I49" s="6"/>
      <c r="J49" s="13" t="s">
        <v>117</v>
      </c>
      <c r="K49" s="14"/>
      <c r="L49" s="6"/>
      <c r="M49" s="6"/>
      <c r="N49" s="6"/>
      <c r="O49" s="6"/>
      <c r="P49" s="6"/>
      <c r="Q49" s="6"/>
      <c r="R49" s="18"/>
      <c r="S49" s="19"/>
      <c r="T49" s="20"/>
      <c r="U49" s="21"/>
      <c r="V49" s="6"/>
      <c r="W49" s="18"/>
      <c r="X49" s="14"/>
      <c r="Y49" s="14"/>
      <c r="Z49" s="14"/>
      <c r="AA49" s="6"/>
      <c r="AB49" s="6"/>
      <c r="AC49" s="6"/>
    </row>
    <row r="50" ht="14.25" customHeight="1">
      <c r="A50" s="13" t="s">
        <v>60</v>
      </c>
      <c r="B50" s="14">
        <v>89.0</v>
      </c>
      <c r="C50" s="6"/>
      <c r="D50" s="13" t="s">
        <v>60</v>
      </c>
      <c r="E50" s="14">
        <v>93.0</v>
      </c>
      <c r="F50" s="6"/>
      <c r="G50" s="15" t="s">
        <v>119</v>
      </c>
      <c r="H50" s="14"/>
      <c r="I50" s="6"/>
      <c r="J50" s="15" t="s">
        <v>119</v>
      </c>
      <c r="K50" s="14"/>
      <c r="L50" s="6"/>
      <c r="M50" s="6"/>
      <c r="N50" s="6"/>
      <c r="O50" s="6"/>
      <c r="P50" s="6"/>
      <c r="Q50" s="6"/>
      <c r="R50" s="18"/>
      <c r="S50" s="19"/>
      <c r="T50" s="20"/>
      <c r="U50" s="21"/>
      <c r="V50" s="6"/>
      <c r="W50" s="18"/>
      <c r="X50" s="14"/>
      <c r="Y50" s="14"/>
      <c r="Z50" s="14"/>
      <c r="AA50" s="6"/>
      <c r="AB50" s="6"/>
      <c r="AC50" s="6"/>
    </row>
    <row r="51" ht="14.25" customHeight="1">
      <c r="A51" s="13" t="s">
        <v>129</v>
      </c>
      <c r="B51" s="14">
        <v>6.0</v>
      </c>
      <c r="C51" s="6"/>
      <c r="D51" s="13" t="s">
        <v>129</v>
      </c>
      <c r="E51" s="14">
        <v>5.0</v>
      </c>
      <c r="F51" s="6"/>
      <c r="G51" s="15" t="s">
        <v>121</v>
      </c>
      <c r="H51" s="14"/>
      <c r="I51" s="6"/>
      <c r="J51" s="15" t="s">
        <v>121</v>
      </c>
      <c r="K51" s="14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34" t="s">
        <v>29</v>
      </c>
      <c r="X51" s="35">
        <f t="shared" ref="X51:Z51" si="4">SUM(X41:X50)</f>
        <v>88931</v>
      </c>
      <c r="Y51" s="35">
        <f t="shared" si="4"/>
        <v>13533</v>
      </c>
      <c r="Z51" s="35">
        <f t="shared" si="4"/>
        <v>354</v>
      </c>
      <c r="AA51" s="6"/>
      <c r="AB51" s="6"/>
      <c r="AC51" s="6"/>
    </row>
    <row r="52" ht="14.25" customHeight="1">
      <c r="A52" s="13" t="s">
        <v>130</v>
      </c>
      <c r="B52" s="14">
        <v>27.0</v>
      </c>
      <c r="C52" s="6"/>
      <c r="D52" s="13" t="s">
        <v>130</v>
      </c>
      <c r="E52" s="14">
        <v>25.0</v>
      </c>
      <c r="F52" s="6"/>
      <c r="G52" s="15" t="s">
        <v>122</v>
      </c>
      <c r="H52" s="14"/>
      <c r="I52" s="6"/>
      <c r="J52" s="15" t="s">
        <v>122</v>
      </c>
      <c r="K52" s="14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4.25" customHeight="1">
      <c r="A53" s="13" t="s">
        <v>131</v>
      </c>
      <c r="B53" s="14">
        <v>102.0</v>
      </c>
      <c r="C53" s="6"/>
      <c r="D53" s="13" t="s">
        <v>131</v>
      </c>
      <c r="E53" s="14">
        <v>85.0</v>
      </c>
      <c r="F53" s="6"/>
      <c r="G53" s="65" t="s">
        <v>123</v>
      </c>
      <c r="H53" s="14"/>
      <c r="J53" s="65" t="s">
        <v>123</v>
      </c>
      <c r="K53" s="14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4.25" customHeight="1">
      <c r="A54" s="13" t="s">
        <v>132</v>
      </c>
      <c r="B54" s="14">
        <v>12.0</v>
      </c>
      <c r="C54" s="6"/>
      <c r="D54" s="13" t="s">
        <v>132</v>
      </c>
      <c r="E54" s="14">
        <v>11.0</v>
      </c>
      <c r="F54" s="6"/>
      <c r="G54" s="13" t="s">
        <v>124</v>
      </c>
      <c r="H54" s="14"/>
      <c r="I54" s="6"/>
      <c r="J54" s="13" t="s">
        <v>124</v>
      </c>
      <c r="K54" s="14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4.25" customHeight="1">
      <c r="A55" s="13" t="s">
        <v>133</v>
      </c>
      <c r="B55" s="14">
        <v>24.0</v>
      </c>
      <c r="C55" s="6"/>
      <c r="D55" s="13" t="s">
        <v>133</v>
      </c>
      <c r="E55" s="14">
        <v>20.0</v>
      </c>
      <c r="F55" s="6"/>
      <c r="G55" s="13" t="s">
        <v>125</v>
      </c>
      <c r="H55" s="14"/>
      <c r="I55" s="6"/>
      <c r="J55" s="13" t="s">
        <v>125</v>
      </c>
      <c r="K55" s="14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4.25" customHeight="1">
      <c r="B56" s="23">
        <f>SUMPRODUCT(B40:B55)</f>
        <v>357</v>
      </c>
      <c r="C56" s="6"/>
      <c r="E56" s="23">
        <f>SUMPRODUCT(E40:E55)</f>
        <v>329</v>
      </c>
      <c r="F56" s="6"/>
      <c r="G56" s="13" t="s">
        <v>126</v>
      </c>
      <c r="H56" s="14"/>
      <c r="I56" s="6"/>
      <c r="J56" s="13" t="s">
        <v>126</v>
      </c>
      <c r="K56" s="14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4.25" customHeight="1">
      <c r="A57" s="6"/>
      <c r="B57" s="6"/>
      <c r="C57" s="6"/>
      <c r="D57" s="6"/>
      <c r="E57" s="6"/>
      <c r="F57" s="6"/>
      <c r="G57" s="13" t="s">
        <v>127</v>
      </c>
      <c r="H57" s="14"/>
      <c r="I57" s="6"/>
      <c r="J57" s="13" t="s">
        <v>127</v>
      </c>
      <c r="K57" s="14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4.25" customHeight="1">
      <c r="A58" s="6"/>
      <c r="B58" s="6"/>
      <c r="C58" s="6"/>
      <c r="D58" s="6"/>
      <c r="E58" s="6"/>
      <c r="F58" s="6"/>
      <c r="G58" s="13" t="s">
        <v>128</v>
      </c>
      <c r="H58" s="14"/>
      <c r="I58" s="6"/>
      <c r="J58" s="13" t="s">
        <v>128</v>
      </c>
      <c r="K58" s="14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4.25" customHeight="1">
      <c r="A59" s="6"/>
      <c r="B59" s="6"/>
      <c r="C59" s="6"/>
      <c r="D59" s="6"/>
      <c r="E59" s="6"/>
      <c r="F59" s="6"/>
      <c r="G59" s="13" t="s">
        <v>60</v>
      </c>
      <c r="H59" s="14"/>
      <c r="I59" s="6"/>
      <c r="J59" s="13" t="s">
        <v>60</v>
      </c>
      <c r="K59" s="14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4.25" customHeight="1">
      <c r="A60" s="6"/>
      <c r="B60" s="6"/>
      <c r="C60" s="6"/>
      <c r="D60" s="6"/>
      <c r="E60" s="6"/>
      <c r="F60" s="6"/>
      <c r="G60" s="13" t="s">
        <v>129</v>
      </c>
      <c r="H60" s="14"/>
      <c r="I60" s="6"/>
      <c r="J60" s="13" t="s">
        <v>129</v>
      </c>
      <c r="K60" s="14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4.25" customHeight="1">
      <c r="A61" s="6"/>
      <c r="B61" s="6"/>
      <c r="C61" s="6"/>
      <c r="D61" s="6"/>
      <c r="E61" s="6"/>
      <c r="F61" s="6"/>
      <c r="G61" s="13" t="s">
        <v>130</v>
      </c>
      <c r="H61" s="14"/>
      <c r="I61" s="6"/>
      <c r="J61" s="13" t="s">
        <v>130</v>
      </c>
      <c r="K61" s="14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4.25" customHeight="1">
      <c r="A62" s="6"/>
      <c r="B62" s="6"/>
      <c r="C62" s="6"/>
      <c r="D62" s="6"/>
      <c r="E62" s="6"/>
      <c r="F62" s="6"/>
      <c r="G62" s="13" t="s">
        <v>131</v>
      </c>
      <c r="H62" s="14"/>
      <c r="I62" s="6"/>
      <c r="J62" s="13" t="s">
        <v>131</v>
      </c>
      <c r="K62" s="14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4.25" customHeight="1">
      <c r="A63" s="6"/>
      <c r="B63" s="6"/>
      <c r="C63" s="6"/>
      <c r="D63" s="6"/>
      <c r="E63" s="6"/>
      <c r="F63" s="6"/>
      <c r="G63" s="13" t="s">
        <v>132</v>
      </c>
      <c r="H63" s="14"/>
      <c r="I63" s="6"/>
      <c r="J63" s="13" t="s">
        <v>132</v>
      </c>
      <c r="K63" s="1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4.25" customHeight="1">
      <c r="A64" s="6"/>
      <c r="B64" s="6"/>
      <c r="C64" s="6"/>
      <c r="D64" s="6"/>
      <c r="E64" s="6"/>
      <c r="F64" s="6"/>
      <c r="G64" s="13" t="s">
        <v>133</v>
      </c>
      <c r="H64" s="14"/>
      <c r="I64" s="6"/>
      <c r="J64" s="13" t="s">
        <v>133</v>
      </c>
      <c r="K64" s="1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4.25" customHeight="1">
      <c r="A65" s="6"/>
      <c r="B65" s="6"/>
      <c r="C65" s="6"/>
      <c r="D65" s="6"/>
      <c r="E65" s="6"/>
      <c r="F65" s="6"/>
      <c r="G65" s="38" t="s">
        <v>32</v>
      </c>
      <c r="H65" s="39"/>
      <c r="I65" s="6"/>
      <c r="J65" s="38" t="s">
        <v>32</v>
      </c>
      <c r="K65" s="3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53" t="s">
        <v>56</v>
      </c>
      <c r="U68" s="2"/>
      <c r="V68" s="2"/>
      <c r="W68" s="2"/>
      <c r="X68" s="3"/>
      <c r="Y68" s="6"/>
      <c r="Z68" s="6"/>
      <c r="AA68" s="6"/>
      <c r="AB68" s="6"/>
      <c r="AC68" s="6"/>
    </row>
    <row r="69" ht="14.25" customHeight="1">
      <c r="A69" s="48" t="s">
        <v>56</v>
      </c>
      <c r="B69" s="2"/>
      <c r="C69" s="2"/>
      <c r="D69" s="2"/>
      <c r="E69" s="3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10" t="s">
        <v>6</v>
      </c>
      <c r="S69" s="10"/>
      <c r="T69" s="10"/>
      <c r="U69" s="10"/>
      <c r="V69" s="6"/>
      <c r="W69" s="9" t="s">
        <v>7</v>
      </c>
      <c r="X69" s="9"/>
      <c r="Y69" s="9"/>
      <c r="Z69" s="9"/>
      <c r="AA69" s="6"/>
      <c r="AB69" s="6"/>
      <c r="AC69" s="6"/>
    </row>
    <row r="70" ht="15.75" customHeight="1">
      <c r="A70" s="11" t="s">
        <v>8</v>
      </c>
      <c r="B70" s="11" t="s">
        <v>9</v>
      </c>
      <c r="C70" s="6"/>
      <c r="D70" s="11" t="s">
        <v>8</v>
      </c>
      <c r="E70" s="11" t="s">
        <v>10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12" t="s">
        <v>14</v>
      </c>
      <c r="S70" s="12" t="s">
        <v>15</v>
      </c>
      <c r="T70" s="12" t="s">
        <v>11</v>
      </c>
      <c r="U70" s="12" t="s">
        <v>16</v>
      </c>
      <c r="V70" s="6"/>
      <c r="W70" s="11" t="s">
        <v>17</v>
      </c>
      <c r="X70" s="11" t="s">
        <v>18</v>
      </c>
      <c r="Y70" s="11" t="s">
        <v>19</v>
      </c>
      <c r="Z70" s="11" t="s">
        <v>20</v>
      </c>
      <c r="AA70" s="6"/>
      <c r="AB70" s="6"/>
      <c r="AC70" s="6"/>
    </row>
    <row r="71" ht="14.25" customHeight="1">
      <c r="A71" s="13" t="s">
        <v>117</v>
      </c>
      <c r="B71" s="14"/>
      <c r="C71" s="6"/>
      <c r="D71" s="13" t="s">
        <v>117</v>
      </c>
      <c r="E71" s="14"/>
      <c r="F71" s="6"/>
      <c r="G71" s="6"/>
      <c r="H71" s="6"/>
      <c r="I71" s="6"/>
      <c r="J71" s="6"/>
      <c r="K71" s="6"/>
      <c r="L71" s="6"/>
      <c r="M71" s="6"/>
      <c r="N71" s="9" t="s">
        <v>5</v>
      </c>
      <c r="O71" s="9"/>
      <c r="P71" s="9"/>
      <c r="Q71" s="6"/>
      <c r="R71" s="18"/>
      <c r="S71" s="19"/>
      <c r="T71" s="20"/>
      <c r="U71" s="21"/>
      <c r="V71" s="6"/>
      <c r="W71" s="18"/>
      <c r="X71" s="22"/>
      <c r="Y71" s="22"/>
      <c r="Z71" s="22"/>
      <c r="AA71" s="6"/>
      <c r="AB71" s="6"/>
      <c r="AC71" s="6"/>
    </row>
    <row r="72" ht="16.5" customHeight="1">
      <c r="A72" s="15" t="s">
        <v>119</v>
      </c>
      <c r="B72" s="14"/>
      <c r="C72" s="6"/>
      <c r="D72" s="15" t="s">
        <v>119</v>
      </c>
      <c r="E72" s="14"/>
      <c r="F72" s="6"/>
      <c r="G72" s="6"/>
      <c r="H72" s="6"/>
      <c r="I72" s="6"/>
      <c r="J72" s="6"/>
      <c r="K72" s="6"/>
      <c r="L72" s="6"/>
      <c r="M72" s="6"/>
      <c r="N72" s="11" t="s">
        <v>11</v>
      </c>
      <c r="O72" s="11" t="s">
        <v>12</v>
      </c>
      <c r="P72" s="11" t="s">
        <v>13</v>
      </c>
      <c r="Q72" s="6"/>
      <c r="R72" s="18"/>
      <c r="S72" s="19"/>
      <c r="T72" s="20"/>
      <c r="U72" s="21"/>
      <c r="V72" s="6"/>
      <c r="W72" s="18"/>
      <c r="X72" s="14"/>
      <c r="Y72" s="14"/>
      <c r="Z72" s="14"/>
      <c r="AA72" s="6"/>
      <c r="AB72" s="6"/>
      <c r="AC72" s="6"/>
    </row>
    <row r="73" ht="14.25" customHeight="1">
      <c r="A73" s="15" t="s">
        <v>121</v>
      </c>
      <c r="B73" s="14"/>
      <c r="C73" s="6"/>
      <c r="D73" s="15" t="s">
        <v>121</v>
      </c>
      <c r="E73" s="14"/>
      <c r="F73" s="6"/>
      <c r="G73" s="6"/>
      <c r="H73" s="6"/>
      <c r="I73" s="6"/>
      <c r="J73" s="6"/>
      <c r="K73" s="6"/>
      <c r="L73" s="6"/>
      <c r="M73" s="6"/>
      <c r="N73" s="15" t="s">
        <v>118</v>
      </c>
      <c r="O73" s="16">
        <f>COUNTIF(T71:T81,N73)</f>
        <v>0</v>
      </c>
      <c r="P73" s="17"/>
      <c r="Q73" s="6"/>
      <c r="R73" s="18"/>
      <c r="S73" s="19"/>
      <c r="T73" s="20"/>
      <c r="U73" s="21"/>
      <c r="V73" s="6"/>
      <c r="W73" s="18"/>
      <c r="X73" s="14"/>
      <c r="Y73" s="14"/>
      <c r="Z73" s="14"/>
      <c r="AA73" s="6"/>
      <c r="AB73" s="6"/>
      <c r="AC73" s="6"/>
    </row>
    <row r="74" ht="14.25" customHeight="1">
      <c r="A74" s="15" t="s">
        <v>122</v>
      </c>
      <c r="B74" s="14"/>
      <c r="C74" s="6"/>
      <c r="D74" s="15" t="s">
        <v>122</v>
      </c>
      <c r="E74" s="14"/>
      <c r="F74" s="6"/>
      <c r="G74" s="6"/>
      <c r="H74" s="6"/>
      <c r="I74" s="6"/>
      <c r="J74" s="6"/>
      <c r="K74" s="6"/>
      <c r="L74" s="6"/>
      <c r="M74" s="6"/>
      <c r="N74" s="15" t="s">
        <v>120</v>
      </c>
      <c r="O74" s="16">
        <f>COUNTIF(T71:T81,N74)</f>
        <v>0</v>
      </c>
      <c r="P74" s="17"/>
      <c r="Q74" s="6"/>
      <c r="R74" s="18"/>
      <c r="S74" s="19"/>
      <c r="T74" s="20"/>
      <c r="U74" s="21"/>
      <c r="V74" s="6"/>
      <c r="W74" s="18"/>
      <c r="X74" s="14"/>
      <c r="Y74" s="14"/>
      <c r="Z74" s="14"/>
      <c r="AA74" s="6"/>
      <c r="AB74" s="6"/>
      <c r="AC74" s="6"/>
    </row>
    <row r="75" ht="14.25" customHeight="1">
      <c r="A75" s="65" t="s">
        <v>123</v>
      </c>
      <c r="B75" s="14"/>
      <c r="C75" s="6"/>
      <c r="D75" s="65" t="s">
        <v>123</v>
      </c>
      <c r="E75" s="14"/>
      <c r="F75" s="6"/>
      <c r="G75" s="6"/>
      <c r="H75" s="6"/>
      <c r="I75" s="6"/>
      <c r="J75" s="6"/>
      <c r="K75" s="6"/>
      <c r="L75" s="6"/>
      <c r="M75" s="6"/>
      <c r="N75" s="24" t="s">
        <v>29</v>
      </c>
      <c r="O75" s="25">
        <f>SUM(O73:O74)</f>
        <v>0</v>
      </c>
      <c r="P75" s="26" t="str">
        <f>AVERAGE(P73:P75)</f>
        <v>#REF!</v>
      </c>
      <c r="Q75" s="6"/>
      <c r="R75" s="18"/>
      <c r="S75" s="19"/>
      <c r="T75" s="20"/>
      <c r="U75" s="21"/>
      <c r="V75" s="6"/>
      <c r="W75" s="18"/>
      <c r="X75" s="14"/>
      <c r="Y75" s="14"/>
      <c r="Z75" s="14"/>
      <c r="AA75" s="6"/>
      <c r="AB75" s="6"/>
      <c r="AC75" s="6"/>
    </row>
    <row r="76" ht="14.25" customHeight="1">
      <c r="A76" s="13" t="s">
        <v>124</v>
      </c>
      <c r="B76" s="14"/>
      <c r="C76" s="6"/>
      <c r="D76" s="13" t="s">
        <v>124</v>
      </c>
      <c r="E76" s="1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8"/>
      <c r="S76" s="19"/>
      <c r="T76" s="20"/>
      <c r="U76" s="21"/>
      <c r="V76" s="6"/>
      <c r="W76" s="18"/>
      <c r="X76" s="14"/>
      <c r="Y76" s="14"/>
      <c r="Z76" s="14"/>
      <c r="AA76" s="6"/>
      <c r="AB76" s="6"/>
      <c r="AC76" s="6"/>
    </row>
    <row r="77" ht="14.25" customHeight="1">
      <c r="A77" s="13" t="s">
        <v>125</v>
      </c>
      <c r="B77" s="14"/>
      <c r="C77" s="6"/>
      <c r="D77" s="13" t="s">
        <v>125</v>
      </c>
      <c r="E77" s="1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18"/>
      <c r="S77" s="19"/>
      <c r="T77" s="20"/>
      <c r="U77" s="21"/>
      <c r="V77" s="6"/>
      <c r="W77" s="18"/>
      <c r="X77" s="14"/>
      <c r="Y77" s="14"/>
      <c r="Z77" s="14"/>
      <c r="AA77" s="6"/>
      <c r="AB77" s="6"/>
      <c r="AC77" s="6"/>
    </row>
    <row r="78" ht="14.25" customHeight="1">
      <c r="A78" s="13" t="s">
        <v>126</v>
      </c>
      <c r="B78" s="14"/>
      <c r="C78" s="6"/>
      <c r="D78" s="13" t="s">
        <v>126</v>
      </c>
      <c r="E78" s="1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18"/>
      <c r="S78" s="19"/>
      <c r="T78" s="65"/>
      <c r="U78" s="21"/>
      <c r="V78" s="6"/>
      <c r="W78" s="18"/>
      <c r="X78" s="14"/>
      <c r="Y78" s="14"/>
      <c r="Z78" s="14"/>
      <c r="AA78" s="6"/>
      <c r="AB78" s="6"/>
      <c r="AC78" s="6"/>
    </row>
    <row r="79" ht="14.25" customHeight="1">
      <c r="A79" s="13" t="s">
        <v>127</v>
      </c>
      <c r="B79" s="14"/>
      <c r="C79" s="6"/>
      <c r="D79" s="13" t="s">
        <v>127</v>
      </c>
      <c r="E79" s="14"/>
      <c r="F79" s="6"/>
      <c r="G79" s="29" t="s">
        <v>30</v>
      </c>
      <c r="H79" s="29"/>
      <c r="I79" s="6"/>
      <c r="J79" s="29" t="s">
        <v>30</v>
      </c>
      <c r="K79" s="29"/>
      <c r="L79" s="6"/>
      <c r="M79" s="6"/>
      <c r="N79" s="6"/>
      <c r="O79" s="6"/>
      <c r="P79" s="6"/>
      <c r="Q79" s="6"/>
      <c r="R79" s="18"/>
      <c r="S79" s="19"/>
      <c r="T79" s="20"/>
      <c r="U79" s="21"/>
      <c r="V79" s="6"/>
      <c r="W79" s="18"/>
      <c r="X79" s="14"/>
      <c r="Y79" s="14"/>
      <c r="Z79" s="14"/>
      <c r="AA79" s="6"/>
      <c r="AB79" s="6"/>
      <c r="AC79" s="6"/>
    </row>
    <row r="80" ht="16.5" customHeight="1">
      <c r="A80" s="13" t="s">
        <v>128</v>
      </c>
      <c r="B80" s="14"/>
      <c r="C80" s="6"/>
      <c r="D80" s="13" t="s">
        <v>128</v>
      </c>
      <c r="E80" s="14"/>
      <c r="F80" s="6"/>
      <c r="G80" s="12" t="s">
        <v>8</v>
      </c>
      <c r="H80" s="12" t="s">
        <v>9</v>
      </c>
      <c r="I80" s="6"/>
      <c r="J80" s="12" t="s">
        <v>8</v>
      </c>
      <c r="K80" s="12" t="s">
        <v>10</v>
      </c>
      <c r="L80" s="6"/>
      <c r="M80" s="6"/>
      <c r="N80" s="6"/>
      <c r="O80" s="6"/>
      <c r="P80" s="6"/>
      <c r="Q80" s="6"/>
      <c r="R80" s="18"/>
      <c r="S80" s="19"/>
      <c r="T80" s="20"/>
      <c r="U80" s="21"/>
      <c r="V80" s="6"/>
      <c r="W80" s="18"/>
      <c r="X80" s="14"/>
      <c r="Y80" s="14"/>
      <c r="Z80" s="14"/>
      <c r="AA80" s="6"/>
      <c r="AB80" s="6"/>
      <c r="AC80" s="6"/>
    </row>
    <row r="81" ht="14.25" customHeight="1">
      <c r="A81" s="13" t="s">
        <v>60</v>
      </c>
      <c r="B81" s="14"/>
      <c r="C81" s="6"/>
      <c r="D81" s="13" t="s">
        <v>60</v>
      </c>
      <c r="E81" s="14"/>
      <c r="F81" s="6"/>
      <c r="G81" s="13" t="s">
        <v>117</v>
      </c>
      <c r="H81" s="14"/>
      <c r="I81" s="6"/>
      <c r="J81" s="13" t="s">
        <v>117</v>
      </c>
      <c r="K81" s="14"/>
      <c r="L81" s="6"/>
      <c r="M81" s="6"/>
      <c r="N81" s="6"/>
      <c r="O81" s="6"/>
      <c r="P81" s="6"/>
      <c r="Q81" s="6"/>
      <c r="R81" s="18"/>
      <c r="S81" s="19"/>
      <c r="T81" s="20"/>
      <c r="U81" s="21"/>
      <c r="V81" s="6"/>
      <c r="W81" s="18"/>
      <c r="X81" s="14"/>
      <c r="Y81" s="14"/>
      <c r="Z81" s="14"/>
      <c r="AA81" s="6"/>
      <c r="AB81" s="6"/>
      <c r="AC81" s="6"/>
    </row>
    <row r="82" ht="14.25" customHeight="1">
      <c r="A82" s="13" t="s">
        <v>129</v>
      </c>
      <c r="B82" s="14"/>
      <c r="C82" s="6"/>
      <c r="D82" s="13" t="s">
        <v>129</v>
      </c>
      <c r="E82" s="14"/>
      <c r="F82" s="6"/>
      <c r="G82" s="15" t="s">
        <v>119</v>
      </c>
      <c r="H82" s="14"/>
      <c r="I82" s="6"/>
      <c r="J82" s="15" t="s">
        <v>119</v>
      </c>
      <c r="K82" s="14"/>
      <c r="L82" s="6"/>
      <c r="M82" s="6"/>
      <c r="N82" s="6"/>
      <c r="P82" s="6"/>
      <c r="Q82" s="6"/>
      <c r="R82" s="6"/>
      <c r="S82" s="6"/>
      <c r="T82" s="6"/>
      <c r="U82" s="6"/>
      <c r="V82" s="6"/>
      <c r="W82" s="34" t="s">
        <v>29</v>
      </c>
      <c r="X82" s="35">
        <f t="shared" ref="X82:Z82" si="5">SUM(X71:X81)</f>
        <v>0</v>
      </c>
      <c r="Y82" s="35">
        <f t="shared" si="5"/>
        <v>0</v>
      </c>
      <c r="Z82" s="35">
        <f t="shared" si="5"/>
        <v>0</v>
      </c>
      <c r="AA82" s="6"/>
      <c r="AB82" s="6"/>
      <c r="AC82" s="6"/>
    </row>
    <row r="83" ht="14.25" customHeight="1">
      <c r="A83" s="13" t="s">
        <v>130</v>
      </c>
      <c r="B83" s="14"/>
      <c r="C83" s="6"/>
      <c r="D83" s="13" t="s">
        <v>130</v>
      </c>
      <c r="E83" s="14"/>
      <c r="F83" s="6"/>
      <c r="G83" s="15" t="s">
        <v>121</v>
      </c>
      <c r="H83" s="14"/>
      <c r="I83" s="6"/>
      <c r="J83" s="15" t="s">
        <v>121</v>
      </c>
      <c r="K83" s="1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4.25" customHeight="1">
      <c r="A84" s="13" t="s">
        <v>131</v>
      </c>
      <c r="B84" s="14"/>
      <c r="C84" s="6"/>
      <c r="D84" s="13" t="s">
        <v>131</v>
      </c>
      <c r="E84" s="14"/>
      <c r="F84" s="6"/>
      <c r="G84" s="15" t="s">
        <v>122</v>
      </c>
      <c r="H84" s="14"/>
      <c r="I84" s="6"/>
      <c r="J84" s="15" t="s">
        <v>122</v>
      </c>
      <c r="K84" s="1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4.25" customHeight="1">
      <c r="A85" s="13" t="s">
        <v>132</v>
      </c>
      <c r="B85" s="14"/>
      <c r="C85" s="6"/>
      <c r="D85" s="13" t="s">
        <v>132</v>
      </c>
      <c r="E85" s="14"/>
      <c r="F85" s="6"/>
      <c r="G85" s="65" t="s">
        <v>123</v>
      </c>
      <c r="H85" s="14"/>
      <c r="J85" s="65" t="s">
        <v>123</v>
      </c>
      <c r="K85" s="14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4.25" customHeight="1">
      <c r="A86" s="13" t="s">
        <v>133</v>
      </c>
      <c r="B86" s="14"/>
      <c r="C86" s="6"/>
      <c r="D86" s="13" t="s">
        <v>133</v>
      </c>
      <c r="E86" s="14"/>
      <c r="F86" s="6"/>
      <c r="G86" s="13" t="s">
        <v>124</v>
      </c>
      <c r="H86" s="14"/>
      <c r="I86" s="6"/>
      <c r="J86" s="13" t="s">
        <v>124</v>
      </c>
      <c r="K86" s="14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4.25" customHeight="1">
      <c r="B87" s="23">
        <f>SUMPRODUCT(B71:B86)</f>
        <v>0</v>
      </c>
      <c r="C87" s="6"/>
      <c r="E87" s="23">
        <f>SUMPRODUCT(E71:E86)</f>
        <v>0</v>
      </c>
      <c r="F87" s="6"/>
      <c r="G87" s="13" t="s">
        <v>125</v>
      </c>
      <c r="H87" s="14"/>
      <c r="I87" s="6"/>
      <c r="J87" s="13" t="s">
        <v>125</v>
      </c>
      <c r="K87" s="1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4.25" customHeight="1">
      <c r="A88" s="6"/>
      <c r="B88" s="6"/>
      <c r="C88" s="6"/>
      <c r="D88" s="6"/>
      <c r="E88" s="6"/>
      <c r="F88" s="6"/>
      <c r="G88" s="13" t="s">
        <v>126</v>
      </c>
      <c r="H88" s="14"/>
      <c r="I88" s="6"/>
      <c r="J88" s="13" t="s">
        <v>126</v>
      </c>
      <c r="K88" s="1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4.25" customHeight="1">
      <c r="A89" s="6"/>
      <c r="B89" s="6"/>
      <c r="C89" s="6"/>
      <c r="D89" s="6"/>
      <c r="E89" s="6"/>
      <c r="F89" s="6"/>
      <c r="G89" s="13" t="s">
        <v>127</v>
      </c>
      <c r="H89" s="14"/>
      <c r="I89" s="6"/>
      <c r="J89" s="13" t="s">
        <v>127</v>
      </c>
      <c r="K89" s="1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4.25" customHeight="1">
      <c r="A90" s="6"/>
      <c r="B90" s="6"/>
      <c r="C90" s="6"/>
      <c r="D90" s="6"/>
      <c r="E90" s="6"/>
      <c r="F90" s="6"/>
      <c r="G90" s="13" t="s">
        <v>128</v>
      </c>
      <c r="H90" s="14"/>
      <c r="I90" s="6"/>
      <c r="J90" s="13" t="s">
        <v>128</v>
      </c>
      <c r="K90" s="1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4.25" customHeight="1">
      <c r="A91" s="6"/>
      <c r="B91" s="6"/>
      <c r="C91" s="6"/>
      <c r="D91" s="6"/>
      <c r="E91" s="6"/>
      <c r="F91" s="6"/>
      <c r="G91" s="13" t="s">
        <v>60</v>
      </c>
      <c r="H91" s="14"/>
      <c r="I91" s="6"/>
      <c r="J91" s="13" t="s">
        <v>60</v>
      </c>
      <c r="K91" s="1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4.25" customHeight="1">
      <c r="A92" s="6"/>
      <c r="B92" s="6"/>
      <c r="C92" s="6"/>
      <c r="D92" s="6"/>
      <c r="E92" s="6"/>
      <c r="F92" s="6"/>
      <c r="G92" s="13" t="s">
        <v>129</v>
      </c>
      <c r="H92" s="14"/>
      <c r="I92" s="6"/>
      <c r="J92" s="13" t="s">
        <v>129</v>
      </c>
      <c r="K92" s="1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4.25" customHeight="1">
      <c r="A93" s="6"/>
      <c r="B93" s="6"/>
      <c r="C93" s="6"/>
      <c r="D93" s="6"/>
      <c r="E93" s="6"/>
      <c r="F93" s="6"/>
      <c r="G93" s="13" t="s">
        <v>130</v>
      </c>
      <c r="H93" s="14"/>
      <c r="I93" s="6"/>
      <c r="J93" s="13" t="s">
        <v>130</v>
      </c>
      <c r="K93" s="1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4.25" customHeight="1">
      <c r="A94" s="6"/>
      <c r="B94" s="6"/>
      <c r="C94" s="6"/>
      <c r="D94" s="6"/>
      <c r="E94" s="6"/>
      <c r="F94" s="6"/>
      <c r="G94" s="13" t="s">
        <v>131</v>
      </c>
      <c r="H94" s="14"/>
      <c r="I94" s="6"/>
      <c r="J94" s="13" t="s">
        <v>131</v>
      </c>
      <c r="K94" s="1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4.25" customHeight="1">
      <c r="A95" s="6"/>
      <c r="B95" s="6"/>
      <c r="C95" s="6"/>
      <c r="D95" s="6"/>
      <c r="E95" s="6"/>
      <c r="F95" s="6"/>
      <c r="G95" s="13" t="s">
        <v>132</v>
      </c>
      <c r="H95" s="14"/>
      <c r="I95" s="6"/>
      <c r="J95" s="13" t="s">
        <v>132</v>
      </c>
      <c r="K95" s="1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4.25" customHeight="1">
      <c r="A96" s="6"/>
      <c r="B96" s="6"/>
      <c r="C96" s="6"/>
      <c r="D96" s="6"/>
      <c r="E96" s="6"/>
      <c r="F96" s="6"/>
      <c r="G96" s="13" t="s">
        <v>133</v>
      </c>
      <c r="H96" s="14"/>
      <c r="I96" s="6"/>
      <c r="J96" s="13" t="s">
        <v>133</v>
      </c>
      <c r="K96" s="1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4.25" customHeight="1">
      <c r="A97" s="6"/>
      <c r="B97" s="6"/>
      <c r="C97" s="6"/>
      <c r="D97" s="6"/>
      <c r="E97" s="6"/>
      <c r="F97" s="6"/>
      <c r="G97" s="38" t="s">
        <v>32</v>
      </c>
      <c r="H97" s="39"/>
      <c r="I97" s="6"/>
      <c r="J97" s="38" t="s">
        <v>32</v>
      </c>
      <c r="K97" s="39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4.25" customHeight="1">
      <c r="A103" s="48" t="s">
        <v>68</v>
      </c>
      <c r="B103" s="2"/>
      <c r="C103" s="2"/>
      <c r="D103" s="2"/>
      <c r="E103" s="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6.5" customHeight="1">
      <c r="A104" s="11" t="s">
        <v>8</v>
      </c>
      <c r="B104" s="11" t="s">
        <v>9</v>
      </c>
      <c r="C104" s="6"/>
      <c r="D104" s="11" t="s">
        <v>8</v>
      </c>
      <c r="E104" s="11" t="s">
        <v>10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 t="s">
        <v>68</v>
      </c>
      <c r="AA104" s="6"/>
      <c r="AB104" s="6"/>
      <c r="AC104" s="6"/>
    </row>
    <row r="105" ht="14.25" customHeight="1">
      <c r="A105" s="13" t="s">
        <v>117</v>
      </c>
      <c r="B105" s="14"/>
      <c r="C105" s="6"/>
      <c r="D105" s="13" t="s">
        <v>117</v>
      </c>
      <c r="E105" s="1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10" t="s">
        <v>6</v>
      </c>
      <c r="S105" s="10"/>
      <c r="T105" s="10"/>
      <c r="U105" s="10"/>
      <c r="V105" s="6"/>
      <c r="W105" s="9" t="s">
        <v>7</v>
      </c>
      <c r="X105" s="9"/>
      <c r="Y105" s="9"/>
      <c r="Z105" s="9"/>
      <c r="AA105" s="6"/>
      <c r="AB105" s="6"/>
      <c r="AC105" s="6"/>
    </row>
    <row r="106" ht="14.25" customHeight="1">
      <c r="A106" s="15" t="s">
        <v>119</v>
      </c>
      <c r="B106" s="14"/>
      <c r="C106" s="6"/>
      <c r="D106" s="15" t="s">
        <v>119</v>
      </c>
      <c r="E106" s="1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12" t="s">
        <v>14</v>
      </c>
      <c r="S106" s="12" t="s">
        <v>15</v>
      </c>
      <c r="T106" s="12" t="s">
        <v>11</v>
      </c>
      <c r="U106" s="12" t="s">
        <v>16</v>
      </c>
      <c r="V106" s="6"/>
      <c r="W106" s="11" t="s">
        <v>17</v>
      </c>
      <c r="X106" s="11" t="s">
        <v>18</v>
      </c>
      <c r="Y106" s="11" t="s">
        <v>19</v>
      </c>
      <c r="Z106" s="11" t="s">
        <v>20</v>
      </c>
      <c r="AA106" s="6"/>
      <c r="AB106" s="6"/>
      <c r="AC106" s="6"/>
    </row>
    <row r="107" ht="14.25" customHeight="1">
      <c r="A107" s="15" t="s">
        <v>121</v>
      </c>
      <c r="B107" s="14"/>
      <c r="C107" s="6"/>
      <c r="D107" s="15" t="s">
        <v>121</v>
      </c>
      <c r="E107" s="14"/>
      <c r="F107" s="6"/>
      <c r="G107" s="6"/>
      <c r="H107" s="6"/>
      <c r="I107" s="6"/>
      <c r="J107" s="6"/>
      <c r="K107" s="6"/>
      <c r="L107" s="6"/>
      <c r="M107" s="6"/>
      <c r="N107" s="9" t="s">
        <v>5</v>
      </c>
      <c r="O107" s="9"/>
      <c r="P107" s="9"/>
      <c r="Q107" s="6"/>
      <c r="R107" s="18"/>
      <c r="S107" s="19"/>
      <c r="T107" s="20"/>
      <c r="U107" s="21"/>
      <c r="V107" s="6"/>
      <c r="W107" s="18"/>
      <c r="X107" s="22"/>
      <c r="Y107" s="22"/>
      <c r="Z107" s="22"/>
      <c r="AA107" s="6"/>
      <c r="AB107" s="6"/>
      <c r="AC107" s="6"/>
    </row>
    <row r="108" ht="15.0" customHeight="1">
      <c r="A108" s="15" t="s">
        <v>122</v>
      </c>
      <c r="B108" s="14"/>
      <c r="C108" s="6"/>
      <c r="D108" s="15" t="s">
        <v>122</v>
      </c>
      <c r="E108" s="14"/>
      <c r="F108" s="6"/>
      <c r="G108" s="6"/>
      <c r="H108" s="6"/>
      <c r="I108" s="6"/>
      <c r="J108" s="6"/>
      <c r="K108" s="6"/>
      <c r="L108" s="6"/>
      <c r="M108" s="6"/>
      <c r="N108" s="11" t="s">
        <v>11</v>
      </c>
      <c r="O108" s="11" t="s">
        <v>12</v>
      </c>
      <c r="P108" s="11" t="s">
        <v>13</v>
      </c>
      <c r="Q108" s="6"/>
      <c r="R108" s="18"/>
      <c r="S108" s="19"/>
      <c r="T108" s="20"/>
      <c r="U108" s="21"/>
      <c r="V108" s="6"/>
      <c r="W108" s="18"/>
      <c r="X108" s="14"/>
      <c r="Y108" s="14"/>
      <c r="Z108" s="14"/>
      <c r="AA108" s="6"/>
      <c r="AB108" s="6"/>
      <c r="AC108" s="6"/>
    </row>
    <row r="109" ht="14.25" customHeight="1">
      <c r="A109" s="65" t="s">
        <v>123</v>
      </c>
      <c r="B109" s="14"/>
      <c r="C109" s="6"/>
      <c r="D109" s="65" t="s">
        <v>123</v>
      </c>
      <c r="E109" s="14"/>
      <c r="F109" s="6"/>
      <c r="G109" s="6"/>
      <c r="H109" s="6"/>
      <c r="I109" s="6"/>
      <c r="J109" s="6"/>
      <c r="K109" s="6"/>
      <c r="L109" s="6"/>
      <c r="M109" s="6"/>
      <c r="N109" s="15" t="s">
        <v>118</v>
      </c>
      <c r="O109" s="16">
        <f>COUNTIF(T107:T117,N109)</f>
        <v>0</v>
      </c>
      <c r="P109" s="17"/>
      <c r="Q109" s="6"/>
      <c r="R109" s="18"/>
      <c r="S109" s="19"/>
      <c r="T109" s="20"/>
      <c r="U109" s="21"/>
      <c r="V109" s="6"/>
      <c r="W109" s="18"/>
      <c r="X109" s="14"/>
      <c r="Y109" s="14"/>
      <c r="Z109" s="14"/>
      <c r="AA109" s="6"/>
      <c r="AB109" s="6"/>
      <c r="AC109" s="6"/>
    </row>
    <row r="110" ht="14.25" customHeight="1">
      <c r="A110" s="13" t="s">
        <v>124</v>
      </c>
      <c r="B110" s="14"/>
      <c r="C110" s="6"/>
      <c r="D110" s="13" t="s">
        <v>124</v>
      </c>
      <c r="E110" s="14"/>
      <c r="F110" s="6"/>
      <c r="G110" s="6"/>
      <c r="H110" s="6"/>
      <c r="I110" s="6"/>
      <c r="J110" s="6"/>
      <c r="K110" s="6"/>
      <c r="L110" s="6"/>
      <c r="M110" s="6"/>
      <c r="N110" s="15" t="s">
        <v>120</v>
      </c>
      <c r="O110" s="16">
        <f>COUNTIF(S107:S117,N110)</f>
        <v>0</v>
      </c>
      <c r="P110" s="17"/>
      <c r="Q110" s="6"/>
      <c r="R110" s="18"/>
      <c r="S110" s="19"/>
      <c r="T110" s="20"/>
      <c r="U110" s="21"/>
      <c r="V110" s="6"/>
      <c r="W110" s="18"/>
      <c r="X110" s="14"/>
      <c r="Y110" s="14"/>
      <c r="Z110" s="14"/>
      <c r="AA110" s="6"/>
      <c r="AB110" s="6"/>
      <c r="AC110" s="6"/>
    </row>
    <row r="111" ht="14.25" customHeight="1">
      <c r="A111" s="13" t="s">
        <v>125</v>
      </c>
      <c r="B111" s="14"/>
      <c r="C111" s="6"/>
      <c r="D111" s="13" t="s">
        <v>125</v>
      </c>
      <c r="E111" s="14"/>
      <c r="F111" s="6"/>
      <c r="G111" s="6"/>
      <c r="H111" s="6"/>
      <c r="I111" s="6"/>
      <c r="J111" s="6"/>
      <c r="K111" s="6"/>
      <c r="L111" s="6"/>
      <c r="M111" s="6"/>
      <c r="N111" s="24" t="s">
        <v>29</v>
      </c>
      <c r="O111" s="25">
        <f>SUM(O109:O110)</f>
        <v>0</v>
      </c>
      <c r="P111" s="26" t="str">
        <f>AVERAGE(P109:P111)</f>
        <v>#REF!</v>
      </c>
      <c r="Q111" s="6"/>
      <c r="R111" s="18"/>
      <c r="S111" s="19"/>
      <c r="T111" s="20"/>
      <c r="U111" s="21"/>
      <c r="V111" s="6"/>
      <c r="W111" s="18"/>
      <c r="X111" s="14"/>
      <c r="Y111" s="14"/>
      <c r="Z111" s="14"/>
      <c r="AA111" s="6"/>
      <c r="AB111" s="6"/>
      <c r="AC111" s="6"/>
    </row>
    <row r="112" ht="14.25" customHeight="1">
      <c r="A112" s="13" t="s">
        <v>126</v>
      </c>
      <c r="B112" s="14"/>
      <c r="C112" s="6"/>
      <c r="D112" s="13" t="s">
        <v>126</v>
      </c>
      <c r="E112" s="1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18"/>
      <c r="S112" s="19"/>
      <c r="T112" s="20"/>
      <c r="U112" s="21"/>
      <c r="V112" s="6"/>
      <c r="W112" s="18"/>
      <c r="X112" s="14"/>
      <c r="Y112" s="14"/>
      <c r="Z112" s="14"/>
      <c r="AA112" s="6"/>
      <c r="AB112" s="6"/>
      <c r="AC112" s="6"/>
    </row>
    <row r="113" ht="14.25" customHeight="1">
      <c r="A113" s="13" t="s">
        <v>127</v>
      </c>
      <c r="B113" s="14"/>
      <c r="C113" s="6"/>
      <c r="D113" s="13" t="s">
        <v>127</v>
      </c>
      <c r="E113" s="1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18"/>
      <c r="S113" s="19"/>
      <c r="T113" s="20"/>
      <c r="U113" s="21"/>
      <c r="V113" s="6"/>
      <c r="W113" s="18"/>
      <c r="X113" s="14"/>
      <c r="Y113" s="14"/>
      <c r="Z113" s="14"/>
      <c r="AA113" s="6"/>
      <c r="AB113" s="6"/>
      <c r="AC113" s="6"/>
    </row>
    <row r="114" ht="14.25" customHeight="1">
      <c r="A114" s="13" t="s">
        <v>128</v>
      </c>
      <c r="B114" s="14"/>
      <c r="C114" s="6"/>
      <c r="D114" s="13" t="s">
        <v>128</v>
      </c>
      <c r="E114" s="1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18"/>
      <c r="S114" s="19"/>
      <c r="T114" s="65"/>
      <c r="U114" s="21"/>
      <c r="V114" s="6"/>
      <c r="W114" s="18"/>
      <c r="X114" s="14"/>
      <c r="Y114" s="14"/>
      <c r="Z114" s="14"/>
      <c r="AA114" s="6"/>
      <c r="AB114" s="6"/>
      <c r="AC114" s="6"/>
    </row>
    <row r="115" ht="14.25" customHeight="1">
      <c r="A115" s="13" t="s">
        <v>60</v>
      </c>
      <c r="B115" s="14"/>
      <c r="C115" s="6"/>
      <c r="D115" s="13" t="s">
        <v>60</v>
      </c>
      <c r="E115" s="1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18"/>
      <c r="S115" s="19"/>
      <c r="T115" s="20"/>
      <c r="U115" s="21"/>
      <c r="V115" s="6"/>
      <c r="W115" s="18"/>
      <c r="X115" s="14"/>
      <c r="Y115" s="14"/>
      <c r="Z115" s="14"/>
      <c r="AA115" s="6"/>
      <c r="AB115" s="6"/>
      <c r="AC115" s="6"/>
    </row>
    <row r="116" ht="14.25" customHeight="1">
      <c r="A116" s="13" t="s">
        <v>129</v>
      </c>
      <c r="B116" s="14"/>
      <c r="C116" s="6"/>
      <c r="D116" s="13" t="s">
        <v>129</v>
      </c>
      <c r="E116" s="1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8"/>
      <c r="S116" s="19"/>
      <c r="T116" s="20"/>
      <c r="U116" s="21"/>
      <c r="V116" s="6"/>
      <c r="W116" s="18"/>
      <c r="X116" s="14"/>
      <c r="Y116" s="14"/>
      <c r="Z116" s="14"/>
      <c r="AA116" s="6"/>
      <c r="AB116" s="6"/>
      <c r="AC116" s="6"/>
    </row>
    <row r="117" ht="14.25" customHeight="1">
      <c r="A117" s="13" t="s">
        <v>130</v>
      </c>
      <c r="B117" s="14"/>
      <c r="C117" s="6"/>
      <c r="D117" s="13" t="s">
        <v>130</v>
      </c>
      <c r="E117" s="1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8"/>
      <c r="S117" s="19"/>
      <c r="T117" s="20"/>
      <c r="U117" s="21"/>
      <c r="V117" s="6"/>
      <c r="W117" s="18"/>
      <c r="X117" s="14"/>
      <c r="Y117" s="14"/>
      <c r="Z117" s="14"/>
      <c r="AA117" s="6"/>
      <c r="AB117" s="6"/>
      <c r="AC117" s="6"/>
    </row>
    <row r="118" ht="14.25" customHeight="1">
      <c r="A118" s="13" t="s">
        <v>131</v>
      </c>
      <c r="B118" s="14"/>
      <c r="C118" s="6"/>
      <c r="D118" s="13" t="s">
        <v>131</v>
      </c>
      <c r="E118" s="1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34" t="s">
        <v>29</v>
      </c>
      <c r="X118" s="35">
        <f t="shared" ref="X118:Z118" si="6">SUM(X107:X117)</f>
        <v>0</v>
      </c>
      <c r="Y118" s="35">
        <f t="shared" si="6"/>
        <v>0</v>
      </c>
      <c r="Z118" s="35">
        <f t="shared" si="6"/>
        <v>0</v>
      </c>
      <c r="AA118" s="6"/>
      <c r="AB118" s="6"/>
      <c r="AC118" s="6"/>
    </row>
    <row r="119" ht="14.25" customHeight="1">
      <c r="A119" s="13" t="s">
        <v>132</v>
      </c>
      <c r="B119" s="14"/>
      <c r="C119" s="6"/>
      <c r="D119" s="13" t="s">
        <v>132</v>
      </c>
      <c r="E119" s="1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4.25" customHeight="1">
      <c r="A120" s="13" t="s">
        <v>133</v>
      </c>
      <c r="B120" s="14"/>
      <c r="C120" s="6"/>
      <c r="D120" s="13" t="s">
        <v>133</v>
      </c>
      <c r="E120" s="1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4.25" customHeight="1">
      <c r="A121" s="6"/>
      <c r="B121" s="23">
        <f>SUMPRODUCT(B105:B120)</f>
        <v>0</v>
      </c>
      <c r="C121" s="6"/>
      <c r="E121" s="23">
        <f>SUMPRODUCT(E105:E120)</f>
        <v>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R37:Z37"/>
    <mergeCell ref="T68:X68"/>
    <mergeCell ref="A69:E69"/>
    <mergeCell ref="A103:E103"/>
    <mergeCell ref="R104:Z104"/>
    <mergeCell ref="A1:C1"/>
    <mergeCell ref="A3:E3"/>
    <mergeCell ref="F3:J3"/>
    <mergeCell ref="A4:G4"/>
    <mergeCell ref="Q4:Y4"/>
    <mergeCell ref="A5:E5"/>
    <mergeCell ref="A38:E38"/>
  </mergeCells>
  <dataValidations>
    <dataValidation type="list" allowBlank="1" sqref="T7:T14 T40:T50 T71:T81 T107:T117">
      <formula1>"Eusebio,Vitoria de SA"</formula1>
    </dataValidation>
  </dataValidations>
  <printOptions/>
  <pageMargins bottom="0.787401575" footer="0.0" header="0.0" left="0.511811024" right="0.511811024" top="0.787401575"/>
  <pageSetup orientation="landscape"/>
  <drawing r:id="rId1"/>
</worksheet>
</file>